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annyye/Desktop/"/>
    </mc:Choice>
  </mc:AlternateContent>
  <xr:revisionPtr revIDLastSave="0" documentId="13_ncr:9_{933169F3-1C92-3845-96EE-B9E3B6F47F74}" xr6:coauthVersionLast="43" xr6:coauthVersionMax="43" xr10:uidLastSave="{00000000-0000-0000-0000-000000000000}"/>
  <bookViews>
    <workbookView xWindow="15100" yWindow="460" windowWidth="13400" windowHeight="16600" xr2:uid="{00000000-000D-0000-FFFF-FFFF00000000}"/>
  </bookViews>
  <sheets>
    <sheet name="PoliticalAds 2020" sheetId="5" r:id="rId1"/>
    <sheet name="Regression 1" sheetId="7" r:id="rId2"/>
    <sheet name="Regression 2" sheetId="9" r:id="rId3"/>
    <sheet name="Draft" sheetId="1" r:id="rId4"/>
  </sheets>
  <definedNames>
    <definedName name="_xlnm._FilterDatabase" localSheetId="3" hidden="1">Draft!$L$1:$N$982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6" i="5" l="1"/>
  <c r="L24" i="5"/>
  <c r="L22" i="5"/>
  <c r="L23" i="5"/>
  <c r="L21" i="5"/>
  <c r="L2" i="1" l="1"/>
  <c r="M2" i="1"/>
  <c r="F2" i="1" s="1"/>
  <c r="F4" i="1"/>
  <c r="L4" i="1"/>
  <c r="M4" i="1"/>
  <c r="L5" i="1"/>
  <c r="F5" i="1" s="1"/>
  <c r="M5" i="1"/>
  <c r="L6" i="1"/>
  <c r="M6" i="1"/>
  <c r="F6" i="1" s="1"/>
  <c r="L8" i="1"/>
  <c r="M8" i="1"/>
  <c r="F8" i="1" s="1"/>
  <c r="F9" i="1"/>
  <c r="L9" i="1"/>
  <c r="M9" i="1"/>
  <c r="L10" i="1"/>
  <c r="F10" i="1" s="1"/>
  <c r="M10" i="1"/>
  <c r="L11" i="1"/>
  <c r="M11" i="1"/>
  <c r="F11" i="1" s="1"/>
  <c r="L12" i="1"/>
  <c r="M12" i="1"/>
  <c r="F12" i="1" s="1"/>
  <c r="F13" i="1"/>
  <c r="L13" i="1"/>
  <c r="M13" i="1"/>
  <c r="L15" i="1"/>
  <c r="F15" i="1" s="1"/>
  <c r="M15" i="1"/>
  <c r="L20" i="1"/>
  <c r="M20" i="1"/>
  <c r="F20" i="1" s="1"/>
  <c r="L24" i="1"/>
  <c r="M24" i="1"/>
  <c r="F24" i="1" s="1"/>
  <c r="F28" i="1"/>
  <c r="L28" i="1"/>
  <c r="M28" i="1"/>
  <c r="L29" i="1"/>
  <c r="F29" i="1" s="1"/>
  <c r="M29" i="1"/>
  <c r="L30" i="1"/>
  <c r="M30" i="1"/>
  <c r="F30" i="1" s="1"/>
  <c r="L32" i="1"/>
  <c r="M32" i="1"/>
  <c r="F32" i="1" s="1"/>
  <c r="F34" i="1"/>
  <c r="L34" i="1"/>
  <c r="M34" i="1"/>
  <c r="F36" i="1"/>
  <c r="L36" i="1"/>
  <c r="M36" i="1"/>
  <c r="L37" i="1"/>
  <c r="M37" i="1"/>
  <c r="L39" i="1"/>
  <c r="M39" i="1"/>
  <c r="F39" i="1" s="1"/>
  <c r="F40" i="1"/>
  <c r="L40" i="1"/>
  <c r="M40" i="1"/>
  <c r="L41" i="1"/>
  <c r="F41" i="1" s="1"/>
  <c r="M41" i="1"/>
  <c r="L42" i="1"/>
  <c r="M42" i="1"/>
  <c r="F42" i="1" s="1"/>
  <c r="L43" i="1"/>
  <c r="M43" i="1"/>
  <c r="F43" i="1" s="1"/>
  <c r="F44" i="1"/>
  <c r="L44" i="1"/>
  <c r="M44" i="1"/>
  <c r="F47" i="1"/>
  <c r="L47" i="1"/>
  <c r="M47" i="1"/>
  <c r="L48" i="1"/>
  <c r="M48" i="1"/>
  <c r="L49" i="1"/>
  <c r="M49" i="1"/>
  <c r="F49" i="1" s="1"/>
  <c r="F50" i="1"/>
  <c r="L50" i="1"/>
  <c r="M50" i="1"/>
  <c r="L53" i="1"/>
  <c r="F53" i="1" s="1"/>
  <c r="M53" i="1"/>
  <c r="L54" i="1"/>
  <c r="M54" i="1"/>
  <c r="F54" i="1" s="1"/>
  <c r="L56" i="1"/>
  <c r="M56" i="1"/>
  <c r="F56" i="1" s="1"/>
  <c r="F57" i="1"/>
  <c r="L57" i="1"/>
  <c r="M57" i="1"/>
  <c r="F58" i="1"/>
  <c r="L58" i="1"/>
  <c r="M58" i="1"/>
  <c r="L59" i="1"/>
  <c r="M59" i="1"/>
  <c r="L60" i="1"/>
  <c r="M60" i="1"/>
  <c r="F60" i="1" s="1"/>
  <c r="F63" i="1"/>
  <c r="L63" i="1"/>
  <c r="M63" i="1"/>
  <c r="L64" i="1"/>
  <c r="F64" i="1" s="1"/>
  <c r="M64" i="1"/>
  <c r="L65" i="1"/>
  <c r="M65" i="1"/>
  <c r="F65" i="1" s="1"/>
  <c r="L67" i="1"/>
  <c r="M67" i="1"/>
  <c r="F67" i="1" s="1"/>
  <c r="F70" i="1"/>
  <c r="L70" i="1"/>
  <c r="M70" i="1"/>
  <c r="F74" i="1"/>
  <c r="L74" i="1"/>
  <c r="M74" i="1"/>
  <c r="L75" i="1"/>
  <c r="M75" i="1"/>
  <c r="L76" i="1"/>
  <c r="M76" i="1"/>
  <c r="F76" i="1" s="1"/>
  <c r="F77" i="1"/>
  <c r="L77" i="1"/>
  <c r="M77" i="1"/>
  <c r="L78" i="1"/>
  <c r="F78" i="1" s="1"/>
  <c r="M78" i="1"/>
  <c r="L79" i="1"/>
  <c r="M79" i="1"/>
  <c r="F79" i="1" s="1"/>
  <c r="L80" i="1"/>
  <c r="M80" i="1"/>
  <c r="F80" i="1" s="1"/>
  <c r="F82" i="1"/>
  <c r="L82" i="1"/>
  <c r="M82" i="1"/>
  <c r="F84" i="1"/>
  <c r="L84" i="1"/>
  <c r="M84" i="1"/>
  <c r="L86" i="1"/>
  <c r="M86" i="1"/>
  <c r="L90" i="1"/>
  <c r="M90" i="1"/>
  <c r="F90" i="1" s="1"/>
  <c r="F92" i="1"/>
  <c r="L92" i="1"/>
  <c r="M92" i="1"/>
  <c r="L93" i="1"/>
  <c r="F93" i="1" s="1"/>
  <c r="M93" i="1"/>
  <c r="L95" i="1"/>
  <c r="M95" i="1"/>
  <c r="F95" i="1" s="1"/>
  <c r="L96" i="1"/>
  <c r="M96" i="1"/>
  <c r="F96" i="1" s="1"/>
  <c r="F97" i="1"/>
  <c r="L97" i="1"/>
  <c r="M97" i="1"/>
  <c r="F100" i="1"/>
  <c r="L100" i="1"/>
  <c r="M100" i="1"/>
  <c r="L101" i="1"/>
  <c r="M101" i="1"/>
  <c r="L103" i="1"/>
  <c r="M103" i="1"/>
  <c r="F103" i="1" s="1"/>
  <c r="F104" i="1"/>
  <c r="L104" i="1"/>
  <c r="M104" i="1"/>
  <c r="L106" i="1"/>
  <c r="F106" i="1" s="1"/>
  <c r="M106" i="1"/>
  <c r="L107" i="1"/>
  <c r="M107" i="1"/>
  <c r="F107" i="1" s="1"/>
  <c r="L112" i="1"/>
  <c r="M112" i="1"/>
  <c r="F112" i="1" s="1"/>
  <c r="F114" i="1"/>
  <c r="L114" i="1"/>
  <c r="M114" i="1"/>
  <c r="F116" i="1"/>
  <c r="L116" i="1"/>
  <c r="M116" i="1"/>
  <c r="L120" i="1"/>
  <c r="M120" i="1"/>
  <c r="L121" i="1"/>
  <c r="M121" i="1"/>
  <c r="F121" i="1" s="1"/>
  <c r="F123" i="1"/>
  <c r="L123" i="1"/>
  <c r="M123" i="1"/>
  <c r="L124" i="1"/>
  <c r="F124" i="1" s="1"/>
  <c r="M124" i="1"/>
  <c r="L125" i="1"/>
  <c r="M125" i="1"/>
  <c r="F125" i="1" s="1"/>
  <c r="L126" i="1"/>
  <c r="M126" i="1"/>
  <c r="F126" i="1" s="1"/>
  <c r="F127" i="1"/>
  <c r="L127" i="1"/>
  <c r="M127" i="1"/>
  <c r="F129" i="1"/>
  <c r="L129" i="1"/>
  <c r="M129" i="1"/>
  <c r="L131" i="1"/>
  <c r="M131" i="1"/>
  <c r="L134" i="1"/>
  <c r="M134" i="1"/>
  <c r="F134" i="1" s="1"/>
  <c r="F135" i="1"/>
  <c r="L135" i="1"/>
  <c r="M135" i="1"/>
  <c r="L137" i="1"/>
  <c r="F137" i="1" s="1"/>
  <c r="M137" i="1"/>
  <c r="L138" i="1"/>
  <c r="M138" i="1"/>
  <c r="F138" i="1" s="1"/>
  <c r="L139" i="1"/>
  <c r="M139" i="1"/>
  <c r="F139" i="1" s="1"/>
  <c r="F140" i="1"/>
  <c r="L140" i="1"/>
  <c r="M140" i="1"/>
  <c r="F141" i="1"/>
  <c r="L141" i="1"/>
  <c r="M141" i="1"/>
  <c r="L144" i="1"/>
  <c r="M144" i="1"/>
  <c r="L145" i="1"/>
  <c r="M145" i="1"/>
  <c r="F145" i="1" s="1"/>
  <c r="F147" i="1"/>
  <c r="L147" i="1"/>
  <c r="M147" i="1"/>
  <c r="L150" i="1"/>
  <c r="F150" i="1" s="1"/>
  <c r="M150" i="1"/>
  <c r="L151" i="1"/>
  <c r="M151" i="1"/>
  <c r="F151" i="1" s="1"/>
  <c r="L152" i="1"/>
  <c r="M152" i="1"/>
  <c r="F152" i="1" s="1"/>
  <c r="F154" i="1"/>
  <c r="L154" i="1"/>
  <c r="M154" i="1"/>
  <c r="F155" i="1"/>
  <c r="L155" i="1"/>
  <c r="M155" i="1"/>
  <c r="L156" i="1"/>
  <c r="M156" i="1"/>
  <c r="L158" i="1"/>
  <c r="M158" i="1"/>
  <c r="F158" i="1" s="1"/>
  <c r="F159" i="1"/>
  <c r="L159" i="1"/>
  <c r="M159" i="1"/>
  <c r="L161" i="1"/>
  <c r="F161" i="1" s="1"/>
  <c r="M161" i="1"/>
  <c r="L162" i="1"/>
  <c r="M162" i="1"/>
  <c r="F162" i="1" s="1"/>
  <c r="L163" i="1"/>
  <c r="M163" i="1"/>
  <c r="F163" i="1" s="1"/>
  <c r="F166" i="1"/>
  <c r="L166" i="1"/>
  <c r="M166" i="1"/>
  <c r="F167" i="1"/>
  <c r="L167" i="1"/>
  <c r="M167" i="1"/>
  <c r="L168" i="1"/>
  <c r="M168" i="1"/>
  <c r="L169" i="1"/>
  <c r="M169" i="1"/>
  <c r="F169" i="1" s="1"/>
  <c r="F172" i="1"/>
  <c r="L172" i="1"/>
  <c r="M172" i="1"/>
  <c r="L173" i="1"/>
  <c r="F173" i="1" s="1"/>
  <c r="M173" i="1"/>
  <c r="L174" i="1"/>
  <c r="M174" i="1"/>
  <c r="F174" i="1" s="1"/>
  <c r="L175" i="1"/>
  <c r="M175" i="1"/>
  <c r="F175" i="1" s="1"/>
  <c r="F178" i="1"/>
  <c r="L178" i="1"/>
  <c r="M178" i="1"/>
  <c r="F179" i="1"/>
  <c r="L179" i="1"/>
  <c r="M179" i="1"/>
  <c r="L180" i="1"/>
  <c r="M180" i="1"/>
  <c r="L184" i="1"/>
  <c r="M184" i="1"/>
  <c r="F184" i="1" s="1"/>
  <c r="F185" i="1"/>
  <c r="L185" i="1"/>
  <c r="M185" i="1"/>
  <c r="L186" i="1"/>
  <c r="F186" i="1" s="1"/>
  <c r="M186" i="1"/>
  <c r="L187" i="1"/>
  <c r="M187" i="1"/>
  <c r="F187" i="1" s="1"/>
  <c r="L188" i="1"/>
  <c r="M188" i="1"/>
  <c r="F188" i="1" s="1"/>
  <c r="F189" i="1"/>
  <c r="L189" i="1"/>
  <c r="M189" i="1"/>
  <c r="F190" i="1"/>
  <c r="L190" i="1"/>
  <c r="M190" i="1"/>
  <c r="L191" i="1"/>
  <c r="M191" i="1"/>
  <c r="L193" i="1"/>
  <c r="M193" i="1"/>
  <c r="F193" i="1" s="1"/>
  <c r="F194" i="1"/>
  <c r="L194" i="1"/>
  <c r="M194" i="1"/>
  <c r="L197" i="1"/>
  <c r="F197" i="1" s="1"/>
  <c r="M197" i="1"/>
  <c r="L199" i="1"/>
  <c r="M199" i="1"/>
  <c r="F199" i="1" s="1"/>
  <c r="L201" i="1"/>
  <c r="M201" i="1"/>
  <c r="F201" i="1" s="1"/>
  <c r="F202" i="1"/>
  <c r="L202" i="1"/>
  <c r="M202" i="1"/>
  <c r="F205" i="1"/>
  <c r="L205" i="1"/>
  <c r="M205" i="1"/>
  <c r="L206" i="1"/>
  <c r="M206" i="1"/>
  <c r="L209" i="1"/>
  <c r="M209" i="1"/>
  <c r="F209" i="1" s="1"/>
  <c r="F210" i="1"/>
  <c r="L210" i="1"/>
  <c r="M210" i="1"/>
  <c r="L211" i="1"/>
  <c r="F211" i="1" s="1"/>
  <c r="M211" i="1"/>
  <c r="L212" i="1"/>
  <c r="M212" i="1"/>
  <c r="F212" i="1" s="1"/>
  <c r="L213" i="1"/>
  <c r="M213" i="1"/>
  <c r="F213" i="1" s="1"/>
  <c r="F214" i="1"/>
  <c r="L214" i="1"/>
  <c r="M214" i="1"/>
  <c r="F216" i="1"/>
  <c r="L216" i="1"/>
  <c r="M216" i="1"/>
  <c r="L217" i="1"/>
  <c r="M217" i="1"/>
  <c r="L218" i="1"/>
  <c r="M218" i="1"/>
  <c r="F218" i="1" s="1"/>
  <c r="F219" i="1"/>
  <c r="L219" i="1"/>
  <c r="M219" i="1"/>
  <c r="L222" i="1"/>
  <c r="F222" i="1" s="1"/>
  <c r="M222" i="1"/>
  <c r="L224" i="1"/>
  <c r="M224" i="1"/>
  <c r="F224" i="1" s="1"/>
  <c r="L225" i="1"/>
  <c r="M225" i="1"/>
  <c r="F225" i="1" s="1"/>
  <c r="F226" i="1"/>
  <c r="L226" i="1"/>
  <c r="M226" i="1"/>
  <c r="F228" i="1"/>
  <c r="L228" i="1"/>
  <c r="M228" i="1"/>
  <c r="L230" i="1"/>
  <c r="M230" i="1"/>
  <c r="L233" i="1"/>
  <c r="M233" i="1"/>
  <c r="F233" i="1" s="1"/>
  <c r="F234" i="1"/>
  <c r="L234" i="1"/>
  <c r="M234" i="1"/>
  <c r="L235" i="1"/>
  <c r="F235" i="1" s="1"/>
  <c r="M235" i="1"/>
  <c r="L244" i="1"/>
  <c r="M244" i="1"/>
  <c r="F244" i="1" s="1"/>
  <c r="L245" i="1"/>
  <c r="M245" i="1"/>
  <c r="F245" i="1" s="1"/>
  <c r="F246" i="1"/>
  <c r="L246" i="1"/>
  <c r="M246" i="1"/>
  <c r="F248" i="1"/>
  <c r="L248" i="1"/>
  <c r="M248" i="1"/>
  <c r="L249" i="1"/>
  <c r="M249" i="1"/>
  <c r="L250" i="1"/>
  <c r="M250" i="1"/>
  <c r="F250" i="1" s="1"/>
  <c r="F254" i="1"/>
  <c r="L254" i="1"/>
  <c r="M254" i="1"/>
  <c r="L256" i="1"/>
  <c r="F256" i="1" s="1"/>
  <c r="M256" i="1"/>
  <c r="L260" i="1"/>
  <c r="M260" i="1"/>
  <c r="F260" i="1" s="1"/>
  <c r="L262" i="1"/>
  <c r="M262" i="1"/>
  <c r="F262" i="1" s="1"/>
  <c r="F263" i="1"/>
  <c r="L263" i="1"/>
  <c r="M263" i="1"/>
  <c r="F264" i="1"/>
  <c r="L264" i="1"/>
  <c r="M264" i="1"/>
  <c r="L265" i="1"/>
  <c r="M265" i="1"/>
  <c r="L266" i="1"/>
  <c r="M266" i="1"/>
  <c r="F266" i="1" s="1"/>
  <c r="F267" i="1"/>
  <c r="L267" i="1"/>
  <c r="M267" i="1"/>
  <c r="L271" i="1"/>
  <c r="F271" i="1" s="1"/>
  <c r="M271" i="1"/>
  <c r="L274" i="1"/>
  <c r="M274" i="1"/>
  <c r="F274" i="1" s="1"/>
  <c r="L277" i="1"/>
  <c r="M277" i="1"/>
  <c r="F277" i="1" s="1"/>
  <c r="F278" i="1"/>
  <c r="L278" i="1"/>
  <c r="M278" i="1"/>
  <c r="F281" i="1"/>
  <c r="L281" i="1"/>
  <c r="M281" i="1"/>
  <c r="L284" i="1"/>
  <c r="M284" i="1"/>
  <c r="L287" i="1"/>
  <c r="M287" i="1"/>
  <c r="F287" i="1" s="1"/>
  <c r="F290" i="1"/>
  <c r="L290" i="1"/>
  <c r="M290" i="1"/>
  <c r="L291" i="1"/>
  <c r="F291" i="1" s="1"/>
  <c r="M291" i="1"/>
  <c r="L292" i="1"/>
  <c r="M292" i="1"/>
  <c r="F292" i="1" s="1"/>
  <c r="L293" i="1"/>
  <c r="M293" i="1"/>
  <c r="F293" i="1" s="1"/>
  <c r="F294" i="1"/>
  <c r="L294" i="1"/>
  <c r="M294" i="1"/>
  <c r="F295" i="1"/>
  <c r="L295" i="1"/>
  <c r="M295" i="1"/>
  <c r="L296" i="1"/>
  <c r="M296" i="1"/>
  <c r="L297" i="1"/>
  <c r="M297" i="1"/>
  <c r="F297" i="1" s="1"/>
  <c r="F300" i="1"/>
  <c r="L300" i="1"/>
  <c r="M300" i="1"/>
  <c r="L301" i="1"/>
  <c r="F301" i="1" s="1"/>
  <c r="M301" i="1"/>
  <c r="L304" i="1"/>
  <c r="M304" i="1"/>
  <c r="F304" i="1" s="1"/>
  <c r="L305" i="1"/>
  <c r="M305" i="1"/>
  <c r="F305" i="1" s="1"/>
  <c r="F306" i="1"/>
  <c r="L306" i="1"/>
  <c r="M306" i="1"/>
  <c r="F307" i="1"/>
  <c r="L307" i="1"/>
  <c r="M307" i="1"/>
  <c r="L309" i="1"/>
  <c r="M309" i="1"/>
  <c r="L312" i="1"/>
  <c r="M312" i="1"/>
  <c r="F312" i="1" s="1"/>
  <c r="F313" i="1"/>
  <c r="L313" i="1"/>
  <c r="M313" i="1"/>
  <c r="L314" i="1"/>
  <c r="F314" i="1" s="1"/>
  <c r="M314" i="1"/>
  <c r="L315" i="1"/>
  <c r="M315" i="1"/>
  <c r="F315" i="1" s="1"/>
  <c r="L317" i="1"/>
  <c r="M317" i="1"/>
  <c r="F317" i="1" s="1"/>
  <c r="F318" i="1"/>
  <c r="L318" i="1"/>
  <c r="M318" i="1"/>
  <c r="F320" i="1"/>
  <c r="L320" i="1"/>
  <c r="M320" i="1"/>
  <c r="L321" i="1"/>
  <c r="M321" i="1"/>
  <c r="L322" i="1"/>
  <c r="M322" i="1"/>
  <c r="F322" i="1" s="1"/>
  <c r="F323" i="1"/>
  <c r="L323" i="1"/>
  <c r="M323" i="1"/>
  <c r="L324" i="1"/>
  <c r="F324" i="1" s="1"/>
  <c r="M324" i="1"/>
  <c r="L325" i="1"/>
  <c r="M325" i="1"/>
  <c r="F325" i="1" s="1"/>
  <c r="L330" i="1"/>
  <c r="M330" i="1"/>
  <c r="F330" i="1" s="1"/>
  <c r="F331" i="1"/>
  <c r="L331" i="1"/>
  <c r="M331" i="1"/>
  <c r="F332" i="1"/>
  <c r="L332" i="1"/>
  <c r="M332" i="1"/>
  <c r="L335" i="1"/>
  <c r="M335" i="1"/>
  <c r="L336" i="1"/>
  <c r="M336" i="1"/>
  <c r="F336" i="1" s="1"/>
  <c r="F338" i="1"/>
  <c r="L338" i="1"/>
  <c r="M338" i="1"/>
  <c r="L339" i="1"/>
  <c r="F339" i="1" s="1"/>
  <c r="M339" i="1"/>
  <c r="L343" i="1"/>
  <c r="M343" i="1"/>
  <c r="F343" i="1" s="1"/>
  <c r="L344" i="1"/>
  <c r="M344" i="1"/>
  <c r="F344" i="1" s="1"/>
  <c r="F346" i="1"/>
  <c r="L346" i="1"/>
  <c r="M346" i="1"/>
  <c r="F347" i="1"/>
  <c r="L347" i="1"/>
  <c r="M347" i="1"/>
  <c r="L350" i="1"/>
  <c r="M350" i="1"/>
  <c r="L351" i="1"/>
  <c r="M351" i="1"/>
  <c r="F351" i="1" s="1"/>
  <c r="F353" i="1"/>
  <c r="L353" i="1"/>
  <c r="M353" i="1"/>
  <c r="L355" i="1"/>
  <c r="F355" i="1" s="1"/>
  <c r="M355" i="1"/>
  <c r="L357" i="1"/>
  <c r="M357" i="1"/>
  <c r="F357" i="1" s="1"/>
  <c r="L358" i="1"/>
  <c r="M358" i="1"/>
  <c r="F358" i="1" s="1"/>
  <c r="F359" i="1"/>
  <c r="L359" i="1"/>
  <c r="M359" i="1"/>
  <c r="F360" i="1"/>
  <c r="L360" i="1"/>
  <c r="M360" i="1"/>
  <c r="L361" i="1"/>
  <c r="M361" i="1"/>
  <c r="L362" i="1"/>
  <c r="M362" i="1"/>
  <c r="F362" i="1" s="1"/>
  <c r="F367" i="1"/>
  <c r="L367" i="1"/>
  <c r="M367" i="1"/>
  <c r="L368" i="1"/>
  <c r="F368" i="1" s="1"/>
  <c r="M368" i="1"/>
  <c r="L371" i="1"/>
  <c r="M371" i="1"/>
  <c r="F371" i="1" s="1"/>
  <c r="L372" i="1"/>
  <c r="M372" i="1"/>
  <c r="F372" i="1" s="1"/>
  <c r="F374" i="1"/>
  <c r="L374" i="1"/>
  <c r="M374" i="1"/>
  <c r="F376" i="1"/>
  <c r="L376" i="1"/>
  <c r="M376" i="1"/>
  <c r="L377" i="1"/>
  <c r="M377" i="1"/>
  <c r="L378" i="1"/>
  <c r="M378" i="1"/>
  <c r="F378" i="1" s="1"/>
  <c r="F379" i="1"/>
  <c r="L379" i="1"/>
  <c r="M379" i="1"/>
  <c r="L380" i="1"/>
  <c r="F380" i="1" s="1"/>
  <c r="M380" i="1"/>
  <c r="L382" i="1"/>
  <c r="M382" i="1"/>
  <c r="F382" i="1" s="1"/>
  <c r="L383" i="1"/>
  <c r="M383" i="1"/>
  <c r="F383" i="1" s="1"/>
  <c r="F386" i="1"/>
  <c r="L386" i="1"/>
  <c r="M386" i="1"/>
  <c r="F387" i="1"/>
  <c r="L387" i="1"/>
  <c r="M387" i="1"/>
  <c r="L388" i="1"/>
  <c r="M388" i="1"/>
  <c r="L389" i="1"/>
  <c r="M389" i="1"/>
  <c r="F389" i="1" s="1"/>
  <c r="F390" i="1"/>
  <c r="L390" i="1"/>
  <c r="M390" i="1"/>
  <c r="L391" i="1"/>
  <c r="F391" i="1" s="1"/>
  <c r="M391" i="1"/>
  <c r="L392" i="1"/>
  <c r="M392" i="1"/>
  <c r="F392" i="1" s="1"/>
  <c r="L393" i="1"/>
  <c r="M393" i="1"/>
  <c r="F393" i="1" s="1"/>
  <c r="F394" i="1"/>
  <c r="L394" i="1"/>
  <c r="M394" i="1"/>
  <c r="F395" i="1"/>
  <c r="L395" i="1"/>
  <c r="M395" i="1"/>
  <c r="L396" i="1"/>
  <c r="M396" i="1"/>
  <c r="L397" i="1"/>
  <c r="M397" i="1"/>
  <c r="F397" i="1" s="1"/>
  <c r="F398" i="1"/>
  <c r="L398" i="1"/>
  <c r="M398" i="1"/>
  <c r="L399" i="1"/>
  <c r="F399" i="1" s="1"/>
  <c r="M399" i="1"/>
  <c r="L401" i="1"/>
  <c r="M401" i="1"/>
  <c r="F401" i="1" s="1"/>
  <c r="L402" i="1"/>
  <c r="M402" i="1"/>
  <c r="F402" i="1" s="1"/>
  <c r="F404" i="1"/>
  <c r="L404" i="1"/>
  <c r="M404" i="1"/>
  <c r="F408" i="1"/>
  <c r="L408" i="1"/>
  <c r="M408" i="1"/>
  <c r="L409" i="1"/>
  <c r="M409" i="1"/>
  <c r="L410" i="1"/>
  <c r="M410" i="1"/>
  <c r="F410" i="1" s="1"/>
  <c r="F413" i="1"/>
  <c r="L413" i="1"/>
  <c r="M413" i="1"/>
  <c r="L414" i="1"/>
  <c r="F414" i="1" s="1"/>
  <c r="M414" i="1"/>
  <c r="L416" i="1"/>
  <c r="M416" i="1"/>
  <c r="F416" i="1" s="1"/>
  <c r="L417" i="1"/>
  <c r="M417" i="1"/>
  <c r="F417" i="1" s="1"/>
  <c r="F420" i="1"/>
  <c r="L420" i="1"/>
  <c r="M420" i="1"/>
  <c r="F422" i="1"/>
  <c r="L422" i="1"/>
  <c r="M422" i="1"/>
  <c r="L424" i="1"/>
  <c r="M424" i="1"/>
  <c r="L425" i="1"/>
  <c r="M425" i="1"/>
  <c r="F425" i="1" s="1"/>
  <c r="F426" i="1"/>
  <c r="L426" i="1"/>
  <c r="M426" i="1"/>
  <c r="L428" i="1"/>
  <c r="F428" i="1" s="1"/>
  <c r="M428" i="1"/>
  <c r="L431" i="1"/>
  <c r="M431" i="1"/>
  <c r="F431" i="1" s="1"/>
  <c r="L433" i="1"/>
  <c r="M433" i="1"/>
  <c r="F433" i="1" s="1"/>
  <c r="F436" i="1"/>
  <c r="L436" i="1"/>
  <c r="M436" i="1"/>
  <c r="F437" i="1"/>
  <c r="L437" i="1"/>
  <c r="M437" i="1"/>
  <c r="L438" i="1"/>
  <c r="M438" i="1"/>
  <c r="L439" i="1"/>
  <c r="M439" i="1"/>
  <c r="F439" i="1" s="1"/>
  <c r="F440" i="1"/>
  <c r="L440" i="1"/>
  <c r="M440" i="1"/>
  <c r="L441" i="1"/>
  <c r="F441" i="1" s="1"/>
  <c r="M441" i="1"/>
  <c r="L442" i="1"/>
  <c r="M442" i="1"/>
  <c r="F442" i="1" s="1"/>
  <c r="L443" i="1"/>
  <c r="M443" i="1"/>
  <c r="F443" i="1" s="1"/>
  <c r="F444" i="1"/>
  <c r="L444" i="1"/>
  <c r="M444" i="1"/>
  <c r="F445" i="1"/>
  <c r="L445" i="1"/>
  <c r="M445" i="1"/>
  <c r="L446" i="1"/>
  <c r="M446" i="1"/>
  <c r="L447" i="1"/>
  <c r="M447" i="1"/>
  <c r="F447" i="1" s="1"/>
  <c r="F449" i="1"/>
  <c r="L449" i="1"/>
  <c r="M449" i="1"/>
  <c r="L450" i="1"/>
  <c r="F450" i="1" s="1"/>
  <c r="M450" i="1"/>
  <c r="L451" i="1"/>
  <c r="M451" i="1"/>
  <c r="F451" i="1" s="1"/>
  <c r="L452" i="1"/>
  <c r="M452" i="1"/>
  <c r="F452" i="1" s="1"/>
  <c r="F454" i="1"/>
  <c r="L454" i="1"/>
  <c r="M454" i="1"/>
  <c r="F456" i="1"/>
  <c r="L456" i="1"/>
  <c r="M456" i="1"/>
  <c r="L457" i="1"/>
  <c r="M457" i="1"/>
  <c r="L459" i="1"/>
  <c r="M459" i="1"/>
  <c r="F459" i="1" s="1"/>
  <c r="F463" i="1"/>
  <c r="L463" i="1"/>
  <c r="M463" i="1"/>
  <c r="L467" i="1"/>
  <c r="F467" i="1" s="1"/>
  <c r="M467" i="1"/>
  <c r="L469" i="1"/>
  <c r="M469" i="1"/>
  <c r="F469" i="1" s="1"/>
  <c r="L470" i="1"/>
  <c r="M470" i="1"/>
  <c r="F470" i="1" s="1"/>
  <c r="F471" i="1"/>
  <c r="L471" i="1"/>
  <c r="M471" i="1"/>
  <c r="F474" i="1"/>
  <c r="L474" i="1"/>
  <c r="M474" i="1"/>
  <c r="L475" i="1"/>
  <c r="M475" i="1"/>
  <c r="L476" i="1"/>
  <c r="M476" i="1"/>
  <c r="F476" i="1" s="1"/>
  <c r="F478" i="1"/>
  <c r="L478" i="1"/>
  <c r="M478" i="1"/>
  <c r="L480" i="1"/>
  <c r="F480" i="1" s="1"/>
  <c r="M480" i="1"/>
  <c r="L482" i="1"/>
  <c r="M482" i="1"/>
  <c r="F482" i="1" s="1"/>
  <c r="L483" i="1"/>
  <c r="M483" i="1"/>
  <c r="F483" i="1" s="1"/>
  <c r="F484" i="1"/>
  <c r="L484" i="1"/>
  <c r="M484" i="1"/>
  <c r="F492" i="1"/>
  <c r="L492" i="1"/>
  <c r="M492" i="1"/>
  <c r="L498" i="1"/>
  <c r="M498" i="1"/>
  <c r="L500" i="1"/>
  <c r="M500" i="1"/>
  <c r="F500" i="1" s="1"/>
  <c r="F502" i="1"/>
  <c r="L502" i="1"/>
  <c r="M502" i="1"/>
  <c r="L504" i="1"/>
  <c r="F504" i="1" s="1"/>
  <c r="M504" i="1"/>
  <c r="L506" i="1"/>
  <c r="M506" i="1"/>
  <c r="F506" i="1" s="1"/>
  <c r="L507" i="1"/>
  <c r="M507" i="1"/>
  <c r="F507" i="1" s="1"/>
  <c r="F508" i="1"/>
  <c r="L508" i="1"/>
  <c r="M508" i="1"/>
  <c r="F509" i="1"/>
  <c r="L509" i="1"/>
  <c r="M509" i="1"/>
  <c r="L511" i="1"/>
  <c r="M511" i="1"/>
  <c r="L513" i="1"/>
  <c r="M513" i="1"/>
  <c r="F513" i="1" s="1"/>
  <c r="F515" i="1"/>
  <c r="L515" i="1"/>
  <c r="M515" i="1"/>
  <c r="L516" i="1"/>
  <c r="F516" i="1" s="1"/>
  <c r="M516" i="1"/>
  <c r="L520" i="1"/>
  <c r="M520" i="1"/>
  <c r="F520" i="1" s="1"/>
  <c r="L521" i="1"/>
  <c r="M521" i="1"/>
  <c r="F521" i="1" s="1"/>
  <c r="F524" i="1"/>
  <c r="L524" i="1"/>
  <c r="M524" i="1"/>
  <c r="F525" i="1"/>
  <c r="L525" i="1"/>
  <c r="M525" i="1"/>
  <c r="L526" i="1"/>
  <c r="M526" i="1"/>
  <c r="L528" i="1"/>
  <c r="M528" i="1"/>
  <c r="F528" i="1" s="1"/>
  <c r="F530" i="1"/>
  <c r="L530" i="1"/>
  <c r="M530" i="1"/>
  <c r="L532" i="1"/>
  <c r="F532" i="1" s="1"/>
  <c r="M532" i="1"/>
  <c r="L534" i="1"/>
  <c r="M534" i="1"/>
  <c r="F534" i="1" s="1"/>
  <c r="L535" i="1"/>
  <c r="M535" i="1"/>
  <c r="F535" i="1" s="1"/>
  <c r="F538" i="1"/>
  <c r="L538" i="1"/>
  <c r="M538" i="1"/>
  <c r="F542" i="1"/>
  <c r="L542" i="1"/>
  <c r="M542" i="1"/>
  <c r="L544" i="1"/>
  <c r="M544" i="1"/>
  <c r="L545" i="1"/>
  <c r="M545" i="1"/>
  <c r="F545" i="1" s="1"/>
  <c r="F547" i="1"/>
  <c r="L547" i="1"/>
  <c r="M547" i="1"/>
  <c r="L550" i="1"/>
  <c r="F550" i="1" s="1"/>
  <c r="M550" i="1"/>
  <c r="L551" i="1"/>
  <c r="M551" i="1"/>
  <c r="F551" i="1" s="1"/>
  <c r="L552" i="1"/>
  <c r="M552" i="1"/>
  <c r="F552" i="1" s="1"/>
  <c r="F554" i="1"/>
  <c r="L554" i="1"/>
  <c r="M554" i="1"/>
  <c r="F557" i="1"/>
  <c r="L557" i="1"/>
  <c r="M557" i="1"/>
  <c r="L560" i="1"/>
  <c r="M560" i="1"/>
  <c r="L561" i="1"/>
  <c r="M561" i="1"/>
  <c r="F561" i="1" s="1"/>
  <c r="F562" i="1"/>
  <c r="L562" i="1"/>
  <c r="M562" i="1"/>
  <c r="L564" i="1"/>
  <c r="F564" i="1" s="1"/>
  <c r="M564" i="1"/>
  <c r="L565" i="1"/>
  <c r="M565" i="1"/>
  <c r="F565" i="1" s="1"/>
  <c r="L566" i="1"/>
  <c r="M566" i="1"/>
  <c r="F566" i="1" s="1"/>
  <c r="F567" i="1"/>
  <c r="L567" i="1"/>
  <c r="M567" i="1"/>
  <c r="F568" i="1"/>
  <c r="L568" i="1"/>
  <c r="M568" i="1"/>
  <c r="L570" i="1"/>
  <c r="M570" i="1"/>
  <c r="L573" i="1"/>
  <c r="M573" i="1"/>
  <c r="F573" i="1" s="1"/>
  <c r="F574" i="1"/>
  <c r="L574" i="1"/>
  <c r="M574" i="1"/>
  <c r="L576" i="1"/>
  <c r="F576" i="1" s="1"/>
  <c r="M576" i="1"/>
  <c r="L578" i="1"/>
  <c r="M578" i="1"/>
  <c r="F578" i="1" s="1"/>
  <c r="F579" i="1"/>
  <c r="L579" i="1"/>
  <c r="M579" i="1"/>
  <c r="L582" i="1"/>
  <c r="F582" i="1" s="1"/>
  <c r="M582" i="1"/>
  <c r="L584" i="1"/>
  <c r="M584" i="1"/>
  <c r="F584" i="1" s="1"/>
  <c r="L585" i="1"/>
  <c r="M585" i="1"/>
  <c r="L586" i="1"/>
  <c r="M586" i="1"/>
  <c r="L588" i="1"/>
  <c r="M588" i="1"/>
  <c r="F588" i="1" s="1"/>
  <c r="F589" i="1"/>
  <c r="L589" i="1"/>
  <c r="M589" i="1"/>
  <c r="F590" i="1"/>
  <c r="L590" i="1"/>
  <c r="M590" i="1"/>
  <c r="L591" i="1"/>
  <c r="M591" i="1"/>
  <c r="L592" i="1"/>
  <c r="M592" i="1"/>
  <c r="F592" i="1" s="1"/>
  <c r="F594" i="1"/>
  <c r="L594" i="1"/>
  <c r="M594" i="1"/>
  <c r="F595" i="1"/>
  <c r="L595" i="1"/>
  <c r="M595" i="1"/>
  <c r="L597" i="1"/>
  <c r="M597" i="1"/>
  <c r="F597" i="1" s="1"/>
  <c r="L598" i="1"/>
  <c r="M598" i="1"/>
  <c r="F598" i="1" s="1"/>
  <c r="F599" i="1"/>
  <c r="L599" i="1"/>
  <c r="M599" i="1"/>
  <c r="F600" i="1"/>
  <c r="L600" i="1"/>
  <c r="M600" i="1"/>
  <c r="L602" i="1"/>
  <c r="M602" i="1"/>
  <c r="L604" i="1"/>
  <c r="M604" i="1"/>
  <c r="F604" i="1" s="1"/>
  <c r="F607" i="1"/>
  <c r="L607" i="1"/>
  <c r="M607" i="1"/>
  <c r="F608" i="1"/>
  <c r="L608" i="1"/>
  <c r="M608" i="1"/>
  <c r="L610" i="1"/>
  <c r="M610" i="1"/>
  <c r="F610" i="1" s="1"/>
  <c r="L611" i="1"/>
  <c r="M611" i="1"/>
  <c r="F611" i="1" s="1"/>
  <c r="F612" i="1"/>
  <c r="L612" i="1"/>
  <c r="M612" i="1"/>
  <c r="F613" i="1"/>
  <c r="L613" i="1"/>
  <c r="M613" i="1"/>
  <c r="L614" i="1"/>
  <c r="M614" i="1"/>
  <c r="L616" i="1"/>
  <c r="M616" i="1"/>
  <c r="F616" i="1" s="1"/>
  <c r="F617" i="1"/>
  <c r="L617" i="1"/>
  <c r="M617" i="1"/>
  <c r="F622" i="1"/>
  <c r="L622" i="1"/>
  <c r="M622" i="1"/>
  <c r="L623" i="1"/>
  <c r="M623" i="1"/>
  <c r="F623" i="1" s="1"/>
  <c r="L624" i="1"/>
  <c r="M624" i="1"/>
  <c r="F624" i="1" s="1"/>
  <c r="F625" i="1"/>
  <c r="L625" i="1"/>
  <c r="M625" i="1"/>
  <c r="F626" i="1"/>
  <c r="L626" i="1"/>
  <c r="M626" i="1"/>
  <c r="L627" i="1"/>
  <c r="M627" i="1"/>
  <c r="L629" i="1"/>
  <c r="M629" i="1"/>
  <c r="F629" i="1" s="1"/>
  <c r="F631" i="1"/>
  <c r="L631" i="1"/>
  <c r="M631" i="1"/>
  <c r="F633" i="1"/>
  <c r="L633" i="1"/>
  <c r="M633" i="1"/>
  <c r="L637" i="1"/>
  <c r="M637" i="1"/>
  <c r="F637" i="1" s="1"/>
  <c r="L638" i="1"/>
  <c r="M638" i="1"/>
  <c r="F638" i="1" s="1"/>
  <c r="F640" i="1"/>
  <c r="L640" i="1"/>
  <c r="M640" i="1"/>
  <c r="F641" i="1"/>
  <c r="L641" i="1"/>
  <c r="M641" i="1"/>
  <c r="L643" i="1"/>
  <c r="M643" i="1"/>
  <c r="L644" i="1"/>
  <c r="M644" i="1"/>
  <c r="F644" i="1" s="1"/>
  <c r="F646" i="1"/>
  <c r="L646" i="1"/>
  <c r="M646" i="1"/>
  <c r="F647" i="1"/>
  <c r="L647" i="1"/>
  <c r="M647" i="1"/>
  <c r="L650" i="1"/>
  <c r="M650" i="1"/>
  <c r="F650" i="1" s="1"/>
  <c r="L651" i="1"/>
  <c r="M651" i="1"/>
  <c r="F651" i="1" s="1"/>
  <c r="F653" i="1"/>
  <c r="L653" i="1"/>
  <c r="M653" i="1"/>
  <c r="F655" i="1"/>
  <c r="L655" i="1"/>
  <c r="M655" i="1"/>
  <c r="L656" i="1"/>
  <c r="M656" i="1"/>
  <c r="L657" i="1"/>
  <c r="M657" i="1"/>
  <c r="F657" i="1" s="1"/>
  <c r="F658" i="1"/>
  <c r="L658" i="1"/>
  <c r="M658" i="1"/>
  <c r="F659" i="1"/>
  <c r="L659" i="1"/>
  <c r="M659" i="1"/>
  <c r="L660" i="1"/>
  <c r="M660" i="1"/>
  <c r="F660" i="1" s="1"/>
  <c r="L662" i="1"/>
  <c r="M662" i="1"/>
  <c r="F662" i="1" s="1"/>
  <c r="F665" i="1"/>
  <c r="L665" i="1"/>
  <c r="M665" i="1"/>
  <c r="F666" i="1"/>
  <c r="L666" i="1"/>
  <c r="M666" i="1"/>
  <c r="L670" i="1"/>
  <c r="M670" i="1"/>
  <c r="L674" i="1"/>
  <c r="M674" i="1"/>
  <c r="F674" i="1" s="1"/>
  <c r="F675" i="1"/>
  <c r="L675" i="1"/>
  <c r="M675" i="1"/>
  <c r="F676" i="1"/>
  <c r="L676" i="1"/>
  <c r="M676" i="1"/>
  <c r="L678" i="1"/>
  <c r="M678" i="1"/>
  <c r="F678" i="1" s="1"/>
  <c r="L681" i="1"/>
  <c r="M681" i="1"/>
  <c r="F681" i="1" s="1"/>
  <c r="F684" i="1"/>
  <c r="L684" i="1"/>
  <c r="M684" i="1"/>
  <c r="F685" i="1"/>
  <c r="L685" i="1"/>
  <c r="M685" i="1"/>
  <c r="L690" i="1"/>
  <c r="M690" i="1"/>
  <c r="L691" i="1"/>
  <c r="M691" i="1"/>
  <c r="F691" i="1" s="1"/>
  <c r="F692" i="1"/>
  <c r="L692" i="1"/>
  <c r="M692" i="1"/>
  <c r="F693" i="1"/>
  <c r="L693" i="1"/>
  <c r="M693" i="1"/>
  <c r="L694" i="1"/>
  <c r="M694" i="1"/>
  <c r="F694" i="1" s="1"/>
  <c r="L696" i="1"/>
  <c r="M696" i="1"/>
  <c r="F696" i="1" s="1"/>
  <c r="F701" i="1"/>
  <c r="L701" i="1"/>
  <c r="M701" i="1"/>
  <c r="F703" i="1"/>
  <c r="L703" i="1"/>
  <c r="M703" i="1"/>
  <c r="L708" i="1"/>
  <c r="M708" i="1"/>
  <c r="L714" i="1"/>
  <c r="M714" i="1"/>
  <c r="F714" i="1" s="1"/>
  <c r="F718" i="1"/>
  <c r="L718" i="1"/>
  <c r="M718" i="1"/>
  <c r="L720" i="1"/>
  <c r="F720" i="1" s="1"/>
  <c r="M720" i="1"/>
  <c r="L721" i="1"/>
  <c r="M721" i="1"/>
  <c r="F721" i="1" s="1"/>
  <c r="L724" i="1"/>
  <c r="M724" i="1"/>
  <c r="F724" i="1" s="1"/>
  <c r="F725" i="1"/>
  <c r="L725" i="1"/>
  <c r="M725" i="1"/>
  <c r="F726" i="1"/>
  <c r="L726" i="1"/>
  <c r="M726" i="1"/>
  <c r="L727" i="1"/>
  <c r="M727" i="1"/>
  <c r="L728" i="1"/>
  <c r="M728" i="1"/>
  <c r="F728" i="1" s="1"/>
  <c r="F729" i="1"/>
  <c r="L729" i="1"/>
  <c r="M729" i="1"/>
  <c r="L730" i="1"/>
  <c r="F730" i="1" s="1"/>
  <c r="M730" i="1"/>
  <c r="L731" i="1"/>
  <c r="M731" i="1"/>
  <c r="F731" i="1" s="1"/>
  <c r="L732" i="1"/>
  <c r="M732" i="1"/>
  <c r="F732" i="1" s="1"/>
  <c r="F735" i="1"/>
  <c r="L735" i="1"/>
  <c r="M735" i="1"/>
  <c r="F736" i="1"/>
  <c r="L736" i="1"/>
  <c r="M736" i="1"/>
  <c r="L739" i="1"/>
  <c r="M739" i="1"/>
  <c r="L740" i="1"/>
  <c r="M740" i="1"/>
  <c r="F740" i="1" s="1"/>
  <c r="F752" i="1"/>
  <c r="L752" i="1"/>
  <c r="M752" i="1"/>
  <c r="L753" i="1"/>
  <c r="F753" i="1" s="1"/>
  <c r="M753" i="1"/>
  <c r="L754" i="1"/>
  <c r="M754" i="1"/>
  <c r="F754" i="1" s="1"/>
  <c r="L757" i="1"/>
  <c r="M757" i="1"/>
  <c r="F757" i="1" s="1"/>
  <c r="F760" i="1"/>
  <c r="L760" i="1"/>
  <c r="M760" i="1"/>
  <c r="F766" i="1"/>
  <c r="L766" i="1"/>
  <c r="M766" i="1"/>
  <c r="L767" i="1"/>
  <c r="M767" i="1"/>
  <c r="L769" i="1"/>
  <c r="M769" i="1"/>
  <c r="F769" i="1" s="1"/>
  <c r="F771" i="1"/>
  <c r="L771" i="1"/>
  <c r="M771" i="1"/>
  <c r="L773" i="1"/>
  <c r="F773" i="1" s="1"/>
  <c r="M773" i="1"/>
  <c r="L776" i="1"/>
  <c r="M776" i="1"/>
  <c r="F776" i="1" s="1"/>
  <c r="L778" i="1"/>
  <c r="M778" i="1"/>
  <c r="F778" i="1" s="1"/>
  <c r="F781" i="1"/>
  <c r="L781" i="1"/>
  <c r="M781" i="1"/>
  <c r="F783" i="1"/>
  <c r="L783" i="1"/>
  <c r="M783" i="1"/>
  <c r="L784" i="1"/>
  <c r="M784" i="1"/>
  <c r="L785" i="1"/>
  <c r="M785" i="1"/>
  <c r="F785" i="1" s="1"/>
  <c r="F787" i="1"/>
  <c r="L787" i="1"/>
  <c r="M787" i="1"/>
  <c r="L788" i="1"/>
  <c r="F788" i="1" s="1"/>
  <c r="M788" i="1"/>
  <c r="L789" i="1"/>
  <c r="M789" i="1"/>
  <c r="F789" i="1" s="1"/>
  <c r="L791" i="1"/>
  <c r="M791" i="1"/>
  <c r="F791" i="1" s="1"/>
  <c r="F792" i="1"/>
  <c r="L792" i="1"/>
  <c r="M792" i="1"/>
  <c r="F796" i="1"/>
  <c r="L796" i="1"/>
  <c r="M796" i="1"/>
  <c r="L797" i="1"/>
  <c r="M797" i="1"/>
  <c r="L798" i="1"/>
  <c r="M798" i="1"/>
  <c r="F798" i="1" s="1"/>
  <c r="F799" i="1"/>
  <c r="L799" i="1"/>
  <c r="M799" i="1"/>
  <c r="L802" i="1"/>
  <c r="F802" i="1" s="1"/>
  <c r="M802" i="1"/>
  <c r="L803" i="1"/>
  <c r="M803" i="1"/>
  <c r="F803" i="1" s="1"/>
  <c r="L805" i="1"/>
  <c r="M805" i="1"/>
  <c r="F805" i="1" s="1"/>
  <c r="F806" i="1"/>
  <c r="L806" i="1"/>
  <c r="M806" i="1"/>
  <c r="F810" i="1"/>
  <c r="L810" i="1"/>
  <c r="M810" i="1"/>
  <c r="L811" i="1"/>
  <c r="M811" i="1"/>
  <c r="L812" i="1"/>
  <c r="M812" i="1"/>
  <c r="F812" i="1" s="1"/>
  <c r="F813" i="1"/>
  <c r="L813" i="1"/>
  <c r="M813" i="1"/>
  <c r="L814" i="1"/>
  <c r="F814" i="1" s="1"/>
  <c r="M814" i="1"/>
  <c r="L815" i="1"/>
  <c r="M815" i="1"/>
  <c r="F815" i="1" s="1"/>
  <c r="L817" i="1"/>
  <c r="M817" i="1"/>
  <c r="F817" i="1" s="1"/>
  <c r="F818" i="1"/>
  <c r="L818" i="1"/>
  <c r="M818" i="1"/>
  <c r="F819" i="1"/>
  <c r="L819" i="1"/>
  <c r="M819" i="1"/>
  <c r="L824" i="1"/>
  <c r="M824" i="1"/>
  <c r="L827" i="1"/>
  <c r="M827" i="1"/>
  <c r="F827" i="1" s="1"/>
  <c r="F828" i="1"/>
  <c r="L828" i="1"/>
  <c r="M828" i="1"/>
  <c r="F830" i="1"/>
  <c r="L830" i="1"/>
  <c r="M830" i="1"/>
  <c r="L831" i="1"/>
  <c r="M831" i="1"/>
  <c r="F831" i="1" s="1"/>
  <c r="L833" i="1"/>
  <c r="M833" i="1"/>
  <c r="F833" i="1" s="1"/>
  <c r="F835" i="1"/>
  <c r="L835" i="1"/>
  <c r="M835" i="1"/>
  <c r="F836" i="1"/>
  <c r="L836" i="1"/>
  <c r="M836" i="1"/>
  <c r="L838" i="1"/>
  <c r="M838" i="1"/>
  <c r="L839" i="1"/>
  <c r="M839" i="1"/>
  <c r="F839" i="1" s="1"/>
  <c r="F840" i="1"/>
  <c r="L840" i="1"/>
  <c r="M840" i="1"/>
  <c r="F842" i="1"/>
  <c r="L842" i="1"/>
  <c r="M842" i="1"/>
  <c r="L843" i="1"/>
  <c r="M843" i="1"/>
  <c r="F843" i="1" s="1"/>
  <c r="L844" i="1"/>
  <c r="M844" i="1"/>
  <c r="F844" i="1" s="1"/>
  <c r="F846" i="1"/>
  <c r="L846" i="1"/>
  <c r="M846" i="1"/>
  <c r="F847" i="1"/>
  <c r="L847" i="1"/>
  <c r="M847" i="1"/>
  <c r="L849" i="1"/>
  <c r="M849" i="1"/>
  <c r="L852" i="1"/>
  <c r="M852" i="1"/>
  <c r="F852" i="1" s="1"/>
  <c r="F854" i="1"/>
  <c r="L854" i="1"/>
  <c r="M854" i="1"/>
  <c r="F855" i="1"/>
  <c r="L855" i="1"/>
  <c r="M855" i="1"/>
  <c r="L856" i="1"/>
  <c r="M856" i="1"/>
  <c r="F856" i="1" s="1"/>
  <c r="L857" i="1"/>
  <c r="M857" i="1"/>
  <c r="F857" i="1" s="1"/>
  <c r="F858" i="1"/>
  <c r="L858" i="1"/>
  <c r="M858" i="1"/>
  <c r="F859" i="1"/>
  <c r="L859" i="1"/>
  <c r="M859" i="1"/>
  <c r="L861" i="1"/>
  <c r="M861" i="1"/>
  <c r="L862" i="1"/>
  <c r="M862" i="1"/>
  <c r="F862" i="1" s="1"/>
  <c r="F864" i="1"/>
  <c r="L864" i="1"/>
  <c r="M864" i="1"/>
  <c r="F865" i="1"/>
  <c r="L865" i="1"/>
  <c r="M865" i="1"/>
  <c r="L866" i="1"/>
  <c r="M866" i="1"/>
  <c r="F866" i="1" s="1"/>
  <c r="L869" i="1"/>
  <c r="M869" i="1"/>
  <c r="F869" i="1" s="1"/>
  <c r="F870" i="1"/>
  <c r="L870" i="1"/>
  <c r="M870" i="1"/>
  <c r="F872" i="1"/>
  <c r="L872" i="1"/>
  <c r="M872" i="1"/>
  <c r="L875" i="1"/>
  <c r="M875" i="1"/>
  <c r="L876" i="1"/>
  <c r="M876" i="1"/>
  <c r="F876" i="1" s="1"/>
  <c r="F877" i="1"/>
  <c r="L877" i="1"/>
  <c r="M877" i="1"/>
  <c r="F879" i="1"/>
  <c r="L879" i="1"/>
  <c r="M879" i="1"/>
  <c r="L880" i="1"/>
  <c r="M880" i="1"/>
  <c r="F880" i="1" s="1"/>
  <c r="L881" i="1"/>
  <c r="M881" i="1"/>
  <c r="F881" i="1" s="1"/>
  <c r="F883" i="1"/>
  <c r="L883" i="1"/>
  <c r="M883" i="1"/>
  <c r="F884" i="1"/>
  <c r="L884" i="1"/>
  <c r="M884" i="1"/>
  <c r="L885" i="1"/>
  <c r="M885" i="1"/>
  <c r="L886" i="1"/>
  <c r="M886" i="1"/>
  <c r="F886" i="1" s="1"/>
  <c r="F887" i="1"/>
  <c r="L887" i="1"/>
  <c r="M887" i="1"/>
  <c r="F889" i="1"/>
  <c r="L889" i="1"/>
  <c r="M889" i="1"/>
  <c r="L890" i="1"/>
  <c r="M890" i="1"/>
  <c r="F890" i="1" s="1"/>
  <c r="L891" i="1"/>
  <c r="M891" i="1"/>
  <c r="F891" i="1" s="1"/>
  <c r="F893" i="1"/>
  <c r="L893" i="1"/>
  <c r="M893" i="1"/>
  <c r="F894" i="1"/>
  <c r="L894" i="1"/>
  <c r="M894" i="1"/>
  <c r="L895" i="1"/>
  <c r="M895" i="1"/>
  <c r="L898" i="1"/>
  <c r="M898" i="1"/>
  <c r="F898" i="1" s="1"/>
  <c r="F899" i="1"/>
  <c r="L899" i="1"/>
  <c r="M899" i="1"/>
  <c r="F902" i="1"/>
  <c r="L902" i="1"/>
  <c r="M902" i="1"/>
  <c r="L904" i="1"/>
  <c r="M904" i="1"/>
  <c r="F904" i="1" s="1"/>
  <c r="L906" i="1"/>
  <c r="M906" i="1"/>
  <c r="F910" i="1"/>
  <c r="L910" i="1"/>
  <c r="M910" i="1"/>
  <c r="L911" i="1"/>
  <c r="F911" i="1" s="1"/>
  <c r="M911" i="1"/>
  <c r="L914" i="1"/>
  <c r="M914" i="1"/>
  <c r="F914" i="1" s="1"/>
  <c r="L915" i="1"/>
  <c r="M915" i="1"/>
  <c r="L916" i="1"/>
  <c r="M916" i="1"/>
  <c r="F916" i="1" s="1"/>
  <c r="F921" i="1"/>
  <c r="L921" i="1"/>
  <c r="M921" i="1"/>
  <c r="F923" i="1"/>
  <c r="L923" i="1"/>
  <c r="M923" i="1"/>
  <c r="L924" i="1"/>
  <c r="M924" i="1"/>
  <c r="L925" i="1"/>
  <c r="M925" i="1"/>
  <c r="F925" i="1" s="1"/>
  <c r="F926" i="1"/>
  <c r="L926" i="1"/>
  <c r="M926" i="1"/>
  <c r="F930" i="1"/>
  <c r="L930" i="1"/>
  <c r="M930" i="1"/>
  <c r="L931" i="1"/>
  <c r="M931" i="1"/>
  <c r="F931" i="1" s="1"/>
  <c r="F932" i="1"/>
  <c r="L932" i="1"/>
  <c r="M932" i="1"/>
  <c r="F934" i="1"/>
  <c r="L934" i="1"/>
  <c r="M934" i="1"/>
  <c r="L937" i="1"/>
  <c r="M937" i="1"/>
  <c r="F937" i="1" s="1"/>
  <c r="L939" i="1"/>
  <c r="M939" i="1"/>
  <c r="F940" i="1"/>
  <c r="L940" i="1"/>
  <c r="M940" i="1"/>
  <c r="L941" i="1"/>
  <c r="F941" i="1" s="1"/>
  <c r="M941" i="1"/>
  <c r="L942" i="1"/>
  <c r="M942" i="1"/>
  <c r="F942" i="1" s="1"/>
  <c r="L943" i="1"/>
  <c r="M943" i="1"/>
  <c r="L945" i="1"/>
  <c r="M945" i="1"/>
  <c r="F945" i="1" s="1"/>
  <c r="F946" i="1"/>
  <c r="L946" i="1"/>
  <c r="M946" i="1"/>
  <c r="F947" i="1"/>
  <c r="L947" i="1"/>
  <c r="M947" i="1"/>
  <c r="L948" i="1"/>
  <c r="M948" i="1"/>
  <c r="L951" i="1"/>
  <c r="M951" i="1"/>
  <c r="F951" i="1" s="1"/>
  <c r="F952" i="1"/>
  <c r="L952" i="1"/>
  <c r="M952" i="1"/>
  <c r="F953" i="1"/>
  <c r="L953" i="1"/>
  <c r="M953" i="1"/>
  <c r="L954" i="1"/>
  <c r="M954" i="1"/>
  <c r="F954" i="1" s="1"/>
  <c r="F955" i="1"/>
  <c r="L955" i="1"/>
  <c r="M955" i="1"/>
  <c r="F956" i="1"/>
  <c r="L956" i="1"/>
  <c r="M956" i="1"/>
  <c r="L958" i="1"/>
  <c r="M958" i="1"/>
  <c r="F958" i="1" s="1"/>
  <c r="L960" i="1"/>
  <c r="M960" i="1"/>
  <c r="F961" i="1"/>
  <c r="L961" i="1"/>
  <c r="M961" i="1"/>
  <c r="L963" i="1"/>
  <c r="F963" i="1" s="1"/>
  <c r="M963" i="1"/>
  <c r="L966" i="1"/>
  <c r="M966" i="1"/>
  <c r="F966" i="1" s="1"/>
  <c r="L971" i="1"/>
  <c r="M971" i="1"/>
  <c r="L972" i="1"/>
  <c r="M972" i="1"/>
  <c r="F972" i="1" s="1"/>
  <c r="F973" i="1"/>
  <c r="L973" i="1"/>
  <c r="M973" i="1"/>
  <c r="F975" i="1"/>
  <c r="L975" i="1"/>
  <c r="M975" i="1"/>
  <c r="L977" i="1"/>
  <c r="M977" i="1"/>
  <c r="L980" i="1"/>
  <c r="M980" i="1"/>
  <c r="F980" i="1" s="1"/>
  <c r="F981" i="1"/>
  <c r="L981" i="1"/>
  <c r="M981" i="1"/>
  <c r="M3" i="1"/>
  <c r="M7" i="1"/>
  <c r="M14" i="1"/>
  <c r="M16" i="1"/>
  <c r="M17" i="1"/>
  <c r="M18" i="1"/>
  <c r="M19" i="1"/>
  <c r="M21" i="1"/>
  <c r="M22" i="1"/>
  <c r="M23" i="1"/>
  <c r="M25" i="1"/>
  <c r="M26" i="1"/>
  <c r="M27" i="1"/>
  <c r="M31" i="1"/>
  <c r="M33" i="1"/>
  <c r="M35" i="1"/>
  <c r="M38" i="1"/>
  <c r="M45" i="1"/>
  <c r="M46" i="1"/>
  <c r="M51" i="1"/>
  <c r="M52" i="1"/>
  <c r="M55" i="1"/>
  <c r="M61" i="1"/>
  <c r="M62" i="1"/>
  <c r="M66" i="1"/>
  <c r="M68" i="1"/>
  <c r="M69" i="1"/>
  <c r="M71" i="1"/>
  <c r="M72" i="1"/>
  <c r="M73" i="1"/>
  <c r="M81" i="1"/>
  <c r="M83" i="1"/>
  <c r="M85" i="1"/>
  <c r="M87" i="1"/>
  <c r="M88" i="1"/>
  <c r="M89" i="1"/>
  <c r="M91" i="1"/>
  <c r="M94" i="1"/>
  <c r="M98" i="1"/>
  <c r="M99" i="1"/>
  <c r="M102" i="1"/>
  <c r="M105" i="1"/>
  <c r="M108" i="1"/>
  <c r="M109" i="1"/>
  <c r="M110" i="1"/>
  <c r="M111" i="1"/>
  <c r="M113" i="1"/>
  <c r="M115" i="1"/>
  <c r="M117" i="1"/>
  <c r="M118" i="1"/>
  <c r="M119" i="1"/>
  <c r="M122" i="1"/>
  <c r="M128" i="1"/>
  <c r="M130" i="1"/>
  <c r="M132" i="1"/>
  <c r="M133" i="1"/>
  <c r="M136" i="1"/>
  <c r="M142" i="1"/>
  <c r="M143" i="1"/>
  <c r="M146" i="1"/>
  <c r="M148" i="1"/>
  <c r="M149" i="1"/>
  <c r="M153" i="1"/>
  <c r="M157" i="1"/>
  <c r="M160" i="1"/>
  <c r="M164" i="1"/>
  <c r="M165" i="1"/>
  <c r="M170" i="1"/>
  <c r="M171" i="1"/>
  <c r="M176" i="1"/>
  <c r="M177" i="1"/>
  <c r="M181" i="1"/>
  <c r="M182" i="1"/>
  <c r="M183" i="1"/>
  <c r="M192" i="1"/>
  <c r="M195" i="1"/>
  <c r="M196" i="1"/>
  <c r="M198" i="1"/>
  <c r="M200" i="1"/>
  <c r="M203" i="1"/>
  <c r="M204" i="1"/>
  <c r="M207" i="1"/>
  <c r="M208" i="1"/>
  <c r="M215" i="1"/>
  <c r="M220" i="1"/>
  <c r="M221" i="1"/>
  <c r="M223" i="1"/>
  <c r="M227" i="1"/>
  <c r="M229" i="1"/>
  <c r="M231" i="1"/>
  <c r="M232" i="1"/>
  <c r="M236" i="1"/>
  <c r="M237" i="1"/>
  <c r="M238" i="1"/>
  <c r="M239" i="1"/>
  <c r="M240" i="1"/>
  <c r="M241" i="1"/>
  <c r="M242" i="1"/>
  <c r="M243" i="1"/>
  <c r="M247" i="1"/>
  <c r="M251" i="1"/>
  <c r="M252" i="1"/>
  <c r="M253" i="1"/>
  <c r="M255" i="1"/>
  <c r="M257" i="1"/>
  <c r="M258" i="1"/>
  <c r="M259" i="1"/>
  <c r="M261" i="1"/>
  <c r="M268" i="1"/>
  <c r="M269" i="1"/>
  <c r="M270" i="1"/>
  <c r="M272" i="1"/>
  <c r="M273" i="1"/>
  <c r="M275" i="1"/>
  <c r="M276" i="1"/>
  <c r="M279" i="1"/>
  <c r="M280" i="1"/>
  <c r="M282" i="1"/>
  <c r="M283" i="1"/>
  <c r="M285" i="1"/>
  <c r="M286" i="1"/>
  <c r="M288" i="1"/>
  <c r="M289" i="1"/>
  <c r="M298" i="1"/>
  <c r="M299" i="1"/>
  <c r="M302" i="1"/>
  <c r="M303" i="1"/>
  <c r="M308" i="1"/>
  <c r="M310" i="1"/>
  <c r="M311" i="1"/>
  <c r="M316" i="1"/>
  <c r="M319" i="1"/>
  <c r="M326" i="1"/>
  <c r="M327" i="1"/>
  <c r="M328" i="1"/>
  <c r="M329" i="1"/>
  <c r="M333" i="1"/>
  <c r="M334" i="1"/>
  <c r="M337" i="1"/>
  <c r="M340" i="1"/>
  <c r="M341" i="1"/>
  <c r="M342" i="1"/>
  <c r="M345" i="1"/>
  <c r="M348" i="1"/>
  <c r="M349" i="1"/>
  <c r="M352" i="1"/>
  <c r="M354" i="1"/>
  <c r="M356" i="1"/>
  <c r="M363" i="1"/>
  <c r="M364" i="1"/>
  <c r="M365" i="1"/>
  <c r="M366" i="1"/>
  <c r="M369" i="1"/>
  <c r="M370" i="1"/>
  <c r="M373" i="1"/>
  <c r="M375" i="1"/>
  <c r="M381" i="1"/>
  <c r="M384" i="1"/>
  <c r="M385" i="1"/>
  <c r="M400" i="1"/>
  <c r="M403" i="1"/>
  <c r="M405" i="1"/>
  <c r="M406" i="1"/>
  <c r="M407" i="1"/>
  <c r="M411" i="1"/>
  <c r="M412" i="1"/>
  <c r="M415" i="1"/>
  <c r="M418" i="1"/>
  <c r="M419" i="1"/>
  <c r="M421" i="1"/>
  <c r="M423" i="1"/>
  <c r="M427" i="1"/>
  <c r="M429" i="1"/>
  <c r="M430" i="1"/>
  <c r="M432" i="1"/>
  <c r="M434" i="1"/>
  <c r="M435" i="1"/>
  <c r="M448" i="1"/>
  <c r="M453" i="1"/>
  <c r="M455" i="1"/>
  <c r="M458" i="1"/>
  <c r="M460" i="1"/>
  <c r="M461" i="1"/>
  <c r="M462" i="1"/>
  <c r="M464" i="1"/>
  <c r="M465" i="1"/>
  <c r="M466" i="1"/>
  <c r="M468" i="1"/>
  <c r="M472" i="1"/>
  <c r="M473" i="1"/>
  <c r="M477" i="1"/>
  <c r="M479" i="1"/>
  <c r="M481" i="1"/>
  <c r="M485" i="1"/>
  <c r="M486" i="1"/>
  <c r="M487" i="1"/>
  <c r="M488" i="1"/>
  <c r="M489" i="1"/>
  <c r="M490" i="1"/>
  <c r="M491" i="1"/>
  <c r="M493" i="1"/>
  <c r="M494" i="1"/>
  <c r="M495" i="1"/>
  <c r="M496" i="1"/>
  <c r="M497" i="1"/>
  <c r="M499" i="1"/>
  <c r="M501" i="1"/>
  <c r="M503" i="1"/>
  <c r="M505" i="1"/>
  <c r="M510" i="1"/>
  <c r="M512" i="1"/>
  <c r="M514" i="1"/>
  <c r="M517" i="1"/>
  <c r="M518" i="1"/>
  <c r="M519" i="1"/>
  <c r="M522" i="1"/>
  <c r="M523" i="1"/>
  <c r="M527" i="1"/>
  <c r="M529" i="1"/>
  <c r="M531" i="1"/>
  <c r="M533" i="1"/>
  <c r="M536" i="1"/>
  <c r="M537" i="1"/>
  <c r="M539" i="1"/>
  <c r="M540" i="1"/>
  <c r="M541" i="1"/>
  <c r="M543" i="1"/>
  <c r="M546" i="1"/>
  <c r="M548" i="1"/>
  <c r="M549" i="1"/>
  <c r="M553" i="1"/>
  <c r="M555" i="1"/>
  <c r="M556" i="1"/>
  <c r="M558" i="1"/>
  <c r="M559" i="1"/>
  <c r="M563" i="1"/>
  <c r="M569" i="1"/>
  <c r="M571" i="1"/>
  <c r="M572" i="1"/>
  <c r="M575" i="1"/>
  <c r="M577" i="1"/>
  <c r="M580" i="1"/>
  <c r="M581" i="1"/>
  <c r="M583" i="1"/>
  <c r="M587" i="1"/>
  <c r="M593" i="1"/>
  <c r="M596" i="1"/>
  <c r="M601" i="1"/>
  <c r="M603" i="1"/>
  <c r="M605" i="1"/>
  <c r="M606" i="1"/>
  <c r="M609" i="1"/>
  <c r="M615" i="1"/>
  <c r="M618" i="1"/>
  <c r="M619" i="1"/>
  <c r="M620" i="1"/>
  <c r="M621" i="1"/>
  <c r="M628" i="1"/>
  <c r="M630" i="1"/>
  <c r="M632" i="1"/>
  <c r="M634" i="1"/>
  <c r="M635" i="1"/>
  <c r="M636" i="1"/>
  <c r="M639" i="1"/>
  <c r="M642" i="1"/>
  <c r="M645" i="1"/>
  <c r="M648" i="1"/>
  <c r="M649" i="1"/>
  <c r="M652" i="1"/>
  <c r="M654" i="1"/>
  <c r="M661" i="1"/>
  <c r="M663" i="1"/>
  <c r="M664" i="1"/>
  <c r="M667" i="1"/>
  <c r="M668" i="1"/>
  <c r="M669" i="1"/>
  <c r="M671" i="1"/>
  <c r="M672" i="1"/>
  <c r="M673" i="1"/>
  <c r="M677" i="1"/>
  <c r="M679" i="1"/>
  <c r="M680" i="1"/>
  <c r="M682" i="1"/>
  <c r="M683" i="1"/>
  <c r="M686" i="1"/>
  <c r="M687" i="1"/>
  <c r="M688" i="1"/>
  <c r="M689" i="1"/>
  <c r="M695" i="1"/>
  <c r="M697" i="1"/>
  <c r="M698" i="1"/>
  <c r="M699" i="1"/>
  <c r="M700" i="1"/>
  <c r="M702" i="1"/>
  <c r="M704" i="1"/>
  <c r="M705" i="1"/>
  <c r="M706" i="1"/>
  <c r="M707" i="1"/>
  <c r="M709" i="1"/>
  <c r="M710" i="1"/>
  <c r="M711" i="1"/>
  <c r="M712" i="1"/>
  <c r="M713" i="1"/>
  <c r="M715" i="1"/>
  <c r="M716" i="1"/>
  <c r="M717" i="1"/>
  <c r="M719" i="1"/>
  <c r="M722" i="1"/>
  <c r="M723" i="1"/>
  <c r="M733" i="1"/>
  <c r="M734" i="1"/>
  <c r="M737" i="1"/>
  <c r="M738" i="1"/>
  <c r="M741" i="1"/>
  <c r="M742" i="1"/>
  <c r="M743" i="1"/>
  <c r="M744" i="1"/>
  <c r="M745" i="1"/>
  <c r="M746" i="1"/>
  <c r="M747" i="1"/>
  <c r="M748" i="1"/>
  <c r="M749" i="1"/>
  <c r="M750" i="1"/>
  <c r="M751" i="1"/>
  <c r="M755" i="1"/>
  <c r="M756" i="1"/>
  <c r="M758" i="1"/>
  <c r="M759" i="1"/>
  <c r="M761" i="1"/>
  <c r="M762" i="1"/>
  <c r="M763" i="1"/>
  <c r="M764" i="1"/>
  <c r="M765" i="1"/>
  <c r="M768" i="1"/>
  <c r="M770" i="1"/>
  <c r="M772" i="1"/>
  <c r="M774" i="1"/>
  <c r="M775" i="1"/>
  <c r="M777" i="1"/>
  <c r="M779" i="1"/>
  <c r="M780" i="1"/>
  <c r="M782" i="1"/>
  <c r="M786" i="1"/>
  <c r="M790" i="1"/>
  <c r="M793" i="1"/>
  <c r="M794" i="1"/>
  <c r="M795" i="1"/>
  <c r="M800" i="1"/>
  <c r="M801" i="1"/>
  <c r="M804" i="1"/>
  <c r="M807" i="1"/>
  <c r="M808" i="1"/>
  <c r="M809" i="1"/>
  <c r="M816" i="1"/>
  <c r="M820" i="1"/>
  <c r="M821" i="1"/>
  <c r="M822" i="1"/>
  <c r="M823" i="1"/>
  <c r="M825" i="1"/>
  <c r="M826" i="1"/>
  <c r="M829" i="1"/>
  <c r="M832" i="1"/>
  <c r="M834" i="1"/>
  <c r="M837" i="1"/>
  <c r="M841" i="1"/>
  <c r="M845" i="1"/>
  <c r="M848" i="1"/>
  <c r="M850" i="1"/>
  <c r="M851" i="1"/>
  <c r="M853" i="1"/>
  <c r="M860" i="1"/>
  <c r="M863" i="1"/>
  <c r="M867" i="1"/>
  <c r="M868" i="1"/>
  <c r="M871" i="1"/>
  <c r="M873" i="1"/>
  <c r="M874" i="1"/>
  <c r="M878" i="1"/>
  <c r="M882" i="1"/>
  <c r="M888" i="1"/>
  <c r="M892" i="1"/>
  <c r="M896" i="1"/>
  <c r="M897" i="1"/>
  <c r="M900" i="1"/>
  <c r="M901" i="1"/>
  <c r="M903" i="1"/>
  <c r="M905" i="1"/>
  <c r="M907" i="1"/>
  <c r="M908" i="1"/>
  <c r="M909" i="1"/>
  <c r="M912" i="1"/>
  <c r="M913" i="1"/>
  <c r="M917" i="1"/>
  <c r="M918" i="1"/>
  <c r="M919" i="1"/>
  <c r="M920" i="1"/>
  <c r="M922" i="1"/>
  <c r="M927" i="1"/>
  <c r="M928" i="1"/>
  <c r="M929" i="1"/>
  <c r="M933" i="1"/>
  <c r="M935" i="1"/>
  <c r="M936" i="1"/>
  <c r="M938" i="1"/>
  <c r="M944" i="1"/>
  <c r="M949" i="1"/>
  <c r="M950" i="1"/>
  <c r="M957" i="1"/>
  <c r="M959" i="1"/>
  <c r="M962" i="1"/>
  <c r="M964" i="1"/>
  <c r="M965" i="1"/>
  <c r="M967" i="1"/>
  <c r="M968" i="1"/>
  <c r="M969" i="1"/>
  <c r="M970" i="1"/>
  <c r="M974" i="1"/>
  <c r="M976" i="1"/>
  <c r="M978" i="1"/>
  <c r="M979" i="1"/>
  <c r="M982" i="1"/>
  <c r="L14" i="1"/>
  <c r="L16" i="1"/>
  <c r="L17" i="1"/>
  <c r="L18" i="1"/>
  <c r="L19" i="1"/>
  <c r="L21" i="1"/>
  <c r="L22" i="1"/>
  <c r="L23" i="1"/>
  <c r="L25" i="1"/>
  <c r="L26" i="1"/>
  <c r="L27" i="1"/>
  <c r="L31" i="1"/>
  <c r="L33" i="1"/>
  <c r="L35" i="1"/>
  <c r="L38" i="1"/>
  <c r="L45" i="1"/>
  <c r="L46" i="1"/>
  <c r="L51" i="1"/>
  <c r="L52" i="1"/>
  <c r="L55" i="1"/>
  <c r="L61" i="1"/>
  <c r="L62" i="1"/>
  <c r="L66" i="1"/>
  <c r="L68" i="1"/>
  <c r="L69" i="1"/>
  <c r="L71" i="1"/>
  <c r="L72" i="1"/>
  <c r="L73" i="1"/>
  <c r="L81" i="1"/>
  <c r="L83" i="1"/>
  <c r="L85" i="1"/>
  <c r="L87" i="1"/>
  <c r="L88" i="1"/>
  <c r="L89" i="1"/>
  <c r="L91" i="1"/>
  <c r="L94" i="1"/>
  <c r="L98" i="1"/>
  <c r="L99" i="1"/>
  <c r="L102" i="1"/>
  <c r="L105" i="1"/>
  <c r="L108" i="1"/>
  <c r="L109" i="1"/>
  <c r="L110" i="1"/>
  <c r="L111" i="1"/>
  <c r="L113" i="1"/>
  <c r="L115" i="1"/>
  <c r="L117" i="1"/>
  <c r="L118" i="1"/>
  <c r="L119" i="1"/>
  <c r="L122" i="1"/>
  <c r="L128" i="1"/>
  <c r="L130" i="1"/>
  <c r="L132" i="1"/>
  <c r="L133" i="1"/>
  <c r="L136" i="1"/>
  <c r="L142" i="1"/>
  <c r="L143" i="1"/>
  <c r="L146" i="1"/>
  <c r="L148" i="1"/>
  <c r="L149" i="1"/>
  <c r="L153" i="1"/>
  <c r="L157" i="1"/>
  <c r="L160" i="1"/>
  <c r="L164" i="1"/>
  <c r="L165" i="1"/>
  <c r="L170" i="1"/>
  <c r="L171" i="1"/>
  <c r="L176" i="1"/>
  <c r="L177" i="1"/>
  <c r="L181" i="1"/>
  <c r="L182" i="1"/>
  <c r="L183" i="1"/>
  <c r="L192" i="1"/>
  <c r="L195" i="1"/>
  <c r="L196" i="1"/>
  <c r="L198" i="1"/>
  <c r="L200" i="1"/>
  <c r="L203" i="1"/>
  <c r="L204" i="1"/>
  <c r="L207" i="1"/>
  <c r="L208" i="1"/>
  <c r="L215" i="1"/>
  <c r="L220" i="1"/>
  <c r="L221" i="1"/>
  <c r="L223" i="1"/>
  <c r="L227" i="1"/>
  <c r="L229" i="1"/>
  <c r="L231" i="1"/>
  <c r="L232" i="1"/>
  <c r="L236" i="1"/>
  <c r="L237" i="1"/>
  <c r="L238" i="1"/>
  <c r="L239" i="1"/>
  <c r="L240" i="1"/>
  <c r="L241" i="1"/>
  <c r="L242" i="1"/>
  <c r="L243" i="1"/>
  <c r="L247" i="1"/>
  <c r="L251" i="1"/>
  <c r="L252" i="1"/>
  <c r="L253" i="1"/>
  <c r="L255" i="1"/>
  <c r="L257" i="1"/>
  <c r="L258" i="1"/>
  <c r="L259" i="1"/>
  <c r="L261" i="1"/>
  <c r="L268" i="1"/>
  <c r="L269" i="1"/>
  <c r="L270" i="1"/>
  <c r="L272" i="1"/>
  <c r="L273" i="1"/>
  <c r="L275" i="1"/>
  <c r="L276" i="1"/>
  <c r="L279" i="1"/>
  <c r="L280" i="1"/>
  <c r="L282" i="1"/>
  <c r="L283" i="1"/>
  <c r="L285" i="1"/>
  <c r="L286" i="1"/>
  <c r="L288" i="1"/>
  <c r="L289" i="1"/>
  <c r="L298" i="1"/>
  <c r="L299" i="1"/>
  <c r="L302" i="1"/>
  <c r="L303" i="1"/>
  <c r="L308" i="1"/>
  <c r="L310" i="1"/>
  <c r="L311" i="1"/>
  <c r="L316" i="1"/>
  <c r="L319" i="1"/>
  <c r="L326" i="1"/>
  <c r="L327" i="1"/>
  <c r="L328" i="1"/>
  <c r="L329" i="1"/>
  <c r="L333" i="1"/>
  <c r="L334" i="1"/>
  <c r="L337" i="1"/>
  <c r="L340" i="1"/>
  <c r="L341" i="1"/>
  <c r="L342" i="1"/>
  <c r="L345" i="1"/>
  <c r="L348" i="1"/>
  <c r="L349" i="1"/>
  <c r="L352" i="1"/>
  <c r="L354" i="1"/>
  <c r="L356" i="1"/>
  <c r="L363" i="1"/>
  <c r="L364" i="1"/>
  <c r="L365" i="1"/>
  <c r="L366" i="1"/>
  <c r="L369" i="1"/>
  <c r="L370" i="1"/>
  <c r="L373" i="1"/>
  <c r="L375" i="1"/>
  <c r="L381" i="1"/>
  <c r="L384" i="1"/>
  <c r="L385" i="1"/>
  <c r="L400" i="1"/>
  <c r="L403" i="1"/>
  <c r="L405" i="1"/>
  <c r="L406" i="1"/>
  <c r="L407" i="1"/>
  <c r="L411" i="1"/>
  <c r="L412" i="1"/>
  <c r="L415" i="1"/>
  <c r="L418" i="1"/>
  <c r="L419" i="1"/>
  <c r="L421" i="1"/>
  <c r="L423" i="1"/>
  <c r="L427" i="1"/>
  <c r="L429" i="1"/>
  <c r="L430" i="1"/>
  <c r="L432" i="1"/>
  <c r="L434" i="1"/>
  <c r="L435" i="1"/>
  <c r="L448" i="1"/>
  <c r="L453" i="1"/>
  <c r="L455" i="1"/>
  <c r="L458" i="1"/>
  <c r="L460" i="1"/>
  <c r="L461" i="1"/>
  <c r="L462" i="1"/>
  <c r="L464" i="1"/>
  <c r="L465" i="1"/>
  <c r="L466" i="1"/>
  <c r="L468" i="1"/>
  <c r="L472" i="1"/>
  <c r="L473" i="1"/>
  <c r="L477" i="1"/>
  <c r="L479" i="1"/>
  <c r="L481" i="1"/>
  <c r="L485" i="1"/>
  <c r="L486" i="1"/>
  <c r="L487" i="1"/>
  <c r="L488" i="1"/>
  <c r="L489" i="1"/>
  <c r="L490" i="1"/>
  <c r="L491" i="1"/>
  <c r="L493" i="1"/>
  <c r="L494" i="1"/>
  <c r="L495" i="1"/>
  <c r="L496" i="1"/>
  <c r="L497" i="1"/>
  <c r="L499" i="1"/>
  <c r="L501" i="1"/>
  <c r="L503" i="1"/>
  <c r="L505" i="1"/>
  <c r="L510" i="1"/>
  <c r="L512" i="1"/>
  <c r="L514" i="1"/>
  <c r="L517" i="1"/>
  <c r="L518" i="1"/>
  <c r="L519" i="1"/>
  <c r="L522" i="1"/>
  <c r="L523" i="1"/>
  <c r="L527" i="1"/>
  <c r="L529" i="1"/>
  <c r="L531" i="1"/>
  <c r="L533" i="1"/>
  <c r="L536" i="1"/>
  <c r="L537" i="1"/>
  <c r="L539" i="1"/>
  <c r="L540" i="1"/>
  <c r="L541" i="1"/>
  <c r="L543" i="1"/>
  <c r="L546" i="1"/>
  <c r="L548" i="1"/>
  <c r="L549" i="1"/>
  <c r="L553" i="1"/>
  <c r="L555" i="1"/>
  <c r="L556" i="1"/>
  <c r="L558" i="1"/>
  <c r="L559" i="1"/>
  <c r="L563" i="1"/>
  <c r="L569" i="1"/>
  <c r="L571" i="1"/>
  <c r="L572" i="1"/>
  <c r="L575" i="1"/>
  <c r="L577" i="1"/>
  <c r="L580" i="1"/>
  <c r="L581" i="1"/>
  <c r="L583" i="1"/>
  <c r="L587" i="1"/>
  <c r="L593" i="1"/>
  <c r="L596" i="1"/>
  <c r="L601" i="1"/>
  <c r="L603" i="1"/>
  <c r="L605" i="1"/>
  <c r="L606" i="1"/>
  <c r="L609" i="1"/>
  <c r="L615" i="1"/>
  <c r="L618" i="1"/>
  <c r="L619" i="1"/>
  <c r="L620" i="1"/>
  <c r="L621" i="1"/>
  <c r="L628" i="1"/>
  <c r="L630" i="1"/>
  <c r="L632" i="1"/>
  <c r="L634" i="1"/>
  <c r="L635" i="1"/>
  <c r="L636" i="1"/>
  <c r="L639" i="1"/>
  <c r="L642" i="1"/>
  <c r="L645" i="1"/>
  <c r="L648" i="1"/>
  <c r="L649" i="1"/>
  <c r="L652" i="1"/>
  <c r="L654" i="1"/>
  <c r="L661" i="1"/>
  <c r="L663" i="1"/>
  <c r="L664" i="1"/>
  <c r="L667" i="1"/>
  <c r="L668" i="1"/>
  <c r="L669" i="1"/>
  <c r="L671" i="1"/>
  <c r="L672" i="1"/>
  <c r="L673" i="1"/>
  <c r="L677" i="1"/>
  <c r="L679" i="1"/>
  <c r="L680" i="1"/>
  <c r="L682" i="1"/>
  <c r="L683" i="1"/>
  <c r="L686" i="1"/>
  <c r="L687" i="1"/>
  <c r="L688" i="1"/>
  <c r="L689" i="1"/>
  <c r="L695" i="1"/>
  <c r="L697" i="1"/>
  <c r="L698" i="1"/>
  <c r="L699" i="1"/>
  <c r="L700" i="1"/>
  <c r="L702" i="1"/>
  <c r="L704" i="1"/>
  <c r="L705" i="1"/>
  <c r="L706" i="1"/>
  <c r="L707" i="1"/>
  <c r="L709" i="1"/>
  <c r="L710" i="1"/>
  <c r="L711" i="1"/>
  <c r="L712" i="1"/>
  <c r="L713" i="1"/>
  <c r="L715" i="1"/>
  <c r="L716" i="1"/>
  <c r="L717" i="1"/>
  <c r="L719" i="1"/>
  <c r="L722" i="1"/>
  <c r="L723" i="1"/>
  <c r="L733" i="1"/>
  <c r="L734" i="1"/>
  <c r="L737" i="1"/>
  <c r="L738" i="1"/>
  <c r="L741" i="1"/>
  <c r="L742" i="1"/>
  <c r="L743" i="1"/>
  <c r="L744" i="1"/>
  <c r="L745" i="1"/>
  <c r="L746" i="1"/>
  <c r="L747" i="1"/>
  <c r="L748" i="1"/>
  <c r="L749" i="1"/>
  <c r="L750" i="1"/>
  <c r="L751" i="1"/>
  <c r="L755" i="1"/>
  <c r="L756" i="1"/>
  <c r="L758" i="1"/>
  <c r="L759" i="1"/>
  <c r="L761" i="1"/>
  <c r="L762" i="1"/>
  <c r="L763" i="1"/>
  <c r="L764" i="1"/>
  <c r="L765" i="1"/>
  <c r="L768" i="1"/>
  <c r="L770" i="1"/>
  <c r="L772" i="1"/>
  <c r="L774" i="1"/>
  <c r="L775" i="1"/>
  <c r="L777" i="1"/>
  <c r="L779" i="1"/>
  <c r="L780" i="1"/>
  <c r="L782" i="1"/>
  <c r="L786" i="1"/>
  <c r="L790" i="1"/>
  <c r="L793" i="1"/>
  <c r="L794" i="1"/>
  <c r="L795" i="1"/>
  <c r="L800" i="1"/>
  <c r="L801" i="1"/>
  <c r="L804" i="1"/>
  <c r="L807" i="1"/>
  <c r="L808" i="1"/>
  <c r="L809" i="1"/>
  <c r="L816" i="1"/>
  <c r="L820" i="1"/>
  <c r="L821" i="1"/>
  <c r="L822" i="1"/>
  <c r="L823" i="1"/>
  <c r="L825" i="1"/>
  <c r="L826" i="1"/>
  <c r="L829" i="1"/>
  <c r="L832" i="1"/>
  <c r="L834" i="1"/>
  <c r="L837" i="1"/>
  <c r="L841" i="1"/>
  <c r="L845" i="1"/>
  <c r="L848" i="1"/>
  <c r="L850" i="1"/>
  <c r="L851" i="1"/>
  <c r="L853" i="1"/>
  <c r="L860" i="1"/>
  <c r="L863" i="1"/>
  <c r="L867" i="1"/>
  <c r="L868" i="1"/>
  <c r="L871" i="1"/>
  <c r="L873" i="1"/>
  <c r="L874" i="1"/>
  <c r="L878" i="1"/>
  <c r="L882" i="1"/>
  <c r="L888" i="1"/>
  <c r="L892" i="1"/>
  <c r="L896" i="1"/>
  <c r="L897" i="1"/>
  <c r="L900" i="1"/>
  <c r="L901" i="1"/>
  <c r="L903" i="1"/>
  <c r="L905" i="1"/>
  <c r="L907" i="1"/>
  <c r="L908" i="1"/>
  <c r="L909" i="1"/>
  <c r="L912" i="1"/>
  <c r="L913" i="1"/>
  <c r="L917" i="1"/>
  <c r="L918" i="1"/>
  <c r="L919" i="1"/>
  <c r="L920" i="1"/>
  <c r="L922" i="1"/>
  <c r="L927" i="1"/>
  <c r="L928" i="1"/>
  <c r="L929" i="1"/>
  <c r="L933" i="1"/>
  <c r="L935" i="1"/>
  <c r="L936" i="1"/>
  <c r="L938" i="1"/>
  <c r="L944" i="1"/>
  <c r="L949" i="1"/>
  <c r="L950" i="1"/>
  <c r="L957" i="1"/>
  <c r="L959" i="1"/>
  <c r="L962" i="1"/>
  <c r="L964" i="1"/>
  <c r="L965" i="1"/>
  <c r="L967" i="1"/>
  <c r="L968" i="1"/>
  <c r="L969" i="1"/>
  <c r="L970" i="1"/>
  <c r="L974" i="1"/>
  <c r="L976" i="1"/>
  <c r="L978" i="1"/>
  <c r="L979" i="1"/>
  <c r="L982" i="1"/>
  <c r="L3" i="1"/>
  <c r="L7" i="1"/>
  <c r="F977" i="1" l="1"/>
  <c r="F948" i="1"/>
  <c r="F924" i="1"/>
  <c r="F586" i="1"/>
  <c r="F960" i="1"/>
  <c r="F939" i="1"/>
  <c r="F906" i="1"/>
  <c r="F971" i="1"/>
  <c r="F943" i="1"/>
  <c r="F915" i="1"/>
  <c r="F895" i="1"/>
  <c r="F885" i="1"/>
  <c r="F875" i="1"/>
  <c r="F861" i="1"/>
  <c r="F849" i="1"/>
  <c r="F838" i="1"/>
  <c r="F824" i="1"/>
  <c r="F811" i="1"/>
  <c r="F797" i="1"/>
  <c r="F784" i="1"/>
  <c r="F767" i="1"/>
  <c r="F739" i="1"/>
  <c r="F727" i="1"/>
  <c r="F708" i="1"/>
  <c r="F690" i="1"/>
  <c r="F670" i="1"/>
  <c r="F656" i="1"/>
  <c r="F643" i="1"/>
  <c r="F627" i="1"/>
  <c r="F614" i="1"/>
  <c r="F602" i="1"/>
  <c r="F591" i="1"/>
  <c r="F585" i="1"/>
  <c r="F570" i="1"/>
  <c r="F560" i="1"/>
  <c r="F544" i="1"/>
  <c r="F526" i="1"/>
  <c r="F511" i="1"/>
  <c r="F498" i="1"/>
  <c r="F475" i="1"/>
  <c r="F457" i="1"/>
  <c r="F446" i="1"/>
  <c r="F438" i="1"/>
  <c r="F424" i="1"/>
  <c r="F409" i="1"/>
  <c r="F396" i="1"/>
  <c r="F388" i="1"/>
  <c r="F377" i="1"/>
  <c r="F361" i="1"/>
  <c r="F350" i="1"/>
  <c r="F335" i="1"/>
  <c r="F321" i="1"/>
  <c r="F309" i="1"/>
  <c r="F296" i="1"/>
  <c r="F284" i="1"/>
  <c r="F265" i="1"/>
  <c r="F249" i="1"/>
  <c r="F230" i="1"/>
  <c r="F217" i="1"/>
  <c r="F206" i="1"/>
  <c r="F191" i="1"/>
  <c r="F180" i="1"/>
  <c r="F168" i="1"/>
  <c r="F156" i="1"/>
  <c r="F144" i="1"/>
  <c r="F131" i="1"/>
  <c r="F120" i="1"/>
  <c r="F101" i="1"/>
  <c r="F86" i="1"/>
  <c r="F75" i="1"/>
  <c r="F59" i="1"/>
  <c r="F48" i="1"/>
  <c r="F37" i="1"/>
  <c r="F16" i="1"/>
  <c r="F982" i="1"/>
  <c r="F978" i="1"/>
  <c r="F962" i="1"/>
  <c r="F938" i="1"/>
  <c r="F874" i="1"/>
  <c r="F850" i="1"/>
  <c r="F834" i="1"/>
  <c r="F822" i="1"/>
  <c r="F794" i="1"/>
  <c r="F758" i="1"/>
  <c r="F746" i="1"/>
  <c r="F742" i="1"/>
  <c r="F722" i="1"/>
  <c r="F710" i="1"/>
  <c r="F706" i="1"/>
  <c r="F702" i="1"/>
  <c r="F698" i="1"/>
  <c r="F686" i="1"/>
  <c r="F682" i="1"/>
  <c r="F642" i="1"/>
  <c r="F630" i="1"/>
  <c r="F606" i="1"/>
  <c r="F546" i="1"/>
  <c r="F522" i="1"/>
  <c r="F518" i="1"/>
  <c r="F490" i="1"/>
  <c r="F66" i="1"/>
  <c r="F62" i="1"/>
  <c r="F26" i="1"/>
  <c r="F22" i="1"/>
  <c r="F949" i="1"/>
  <c r="F917" i="1"/>
  <c r="F913" i="1"/>
  <c r="F905" i="1"/>
  <c r="F901" i="1"/>
  <c r="F897" i="1"/>
  <c r="F837" i="1"/>
  <c r="F829" i="1"/>
  <c r="F825" i="1"/>
  <c r="F821" i="1"/>
  <c r="F809" i="1"/>
  <c r="F793" i="1"/>
  <c r="F765" i="1"/>
  <c r="F761" i="1"/>
  <c r="F749" i="1"/>
  <c r="F745" i="1"/>
  <c r="F717" i="1"/>
  <c r="F697" i="1"/>
  <c r="F645" i="1"/>
  <c r="F621" i="1"/>
  <c r="F605" i="1"/>
  <c r="F601" i="1"/>
  <c r="F593" i="1"/>
  <c r="F577" i="1"/>
  <c r="F541" i="1"/>
  <c r="F537" i="1"/>
  <c r="F533" i="1"/>
  <c r="F529" i="1"/>
  <c r="F73" i="1"/>
  <c r="F61" i="1"/>
  <c r="F33" i="1"/>
  <c r="F968" i="1"/>
  <c r="F964" i="1"/>
  <c r="F908" i="1"/>
  <c r="F900" i="1"/>
  <c r="F892" i="1"/>
  <c r="F888" i="1"/>
  <c r="F860" i="1"/>
  <c r="F816" i="1"/>
  <c r="F808" i="1"/>
  <c r="F804" i="1"/>
  <c r="F800" i="1"/>
  <c r="F756" i="1"/>
  <c r="F748" i="1"/>
  <c r="F712" i="1"/>
  <c r="F700" i="1"/>
  <c r="F688" i="1"/>
  <c r="F680" i="1"/>
  <c r="F672" i="1"/>
  <c r="F668" i="1"/>
  <c r="F664" i="1"/>
  <c r="F648" i="1"/>
  <c r="F628" i="1"/>
  <c r="F959" i="1"/>
  <c r="F919" i="1"/>
  <c r="F903" i="1"/>
  <c r="F867" i="1"/>
  <c r="F863" i="1"/>
  <c r="F823" i="1"/>
  <c r="F779" i="1"/>
  <c r="F775" i="1"/>
  <c r="F763" i="1"/>
  <c r="F743" i="1"/>
  <c r="F711" i="1"/>
  <c r="F707" i="1"/>
  <c r="F699" i="1"/>
  <c r="F687" i="1"/>
  <c r="F679" i="1"/>
  <c r="F663" i="1"/>
  <c r="F639" i="1"/>
  <c r="F615" i="1"/>
  <c r="F603" i="1"/>
  <c r="F587" i="1"/>
  <c r="F583" i="1"/>
  <c r="F575" i="1"/>
  <c r="F555" i="1"/>
  <c r="F543" i="1"/>
  <c r="F503" i="1"/>
  <c r="F491" i="1"/>
  <c r="F487" i="1"/>
  <c r="F71" i="1"/>
  <c r="F55" i="1"/>
  <c r="F51" i="1"/>
  <c r="F35" i="1"/>
  <c r="F31" i="1"/>
  <c r="F3" i="1"/>
  <c r="F455" i="1"/>
  <c r="F423" i="1"/>
  <c r="F411" i="1"/>
  <c r="F403" i="1"/>
  <c r="F375" i="1"/>
  <c r="F327" i="1"/>
  <c r="F311" i="1"/>
  <c r="F303" i="1"/>
  <c r="F279" i="1"/>
  <c r="F275" i="1"/>
  <c r="F243" i="1"/>
  <c r="F239" i="1"/>
  <c r="F227" i="1"/>
  <c r="F171" i="1"/>
  <c r="F115" i="1"/>
  <c r="F87" i="1"/>
  <c r="F434" i="1"/>
  <c r="F418" i="1"/>
  <c r="F342" i="1"/>
  <c r="F334" i="1"/>
  <c r="F302" i="1"/>
  <c r="F286" i="1"/>
  <c r="F238" i="1"/>
  <c r="F170" i="1"/>
  <c r="F146" i="1"/>
  <c r="F142" i="1"/>
  <c r="F118" i="1"/>
  <c r="F110" i="1"/>
  <c r="F102" i="1"/>
  <c r="F94" i="1"/>
  <c r="F485" i="1"/>
  <c r="F481" i="1"/>
  <c r="F477" i="1"/>
  <c r="F473" i="1"/>
  <c r="F465" i="1"/>
  <c r="F461" i="1"/>
  <c r="F453" i="1"/>
  <c r="F421" i="1"/>
  <c r="F369" i="1"/>
  <c r="F365" i="1"/>
  <c r="F349" i="1"/>
  <c r="F337" i="1"/>
  <c r="F329" i="1"/>
  <c r="F289" i="1"/>
  <c r="F261" i="1"/>
  <c r="F181" i="1"/>
  <c r="F177" i="1"/>
  <c r="F133" i="1"/>
  <c r="F109" i="1"/>
  <c r="F105" i="1"/>
  <c r="F488" i="1"/>
  <c r="F464" i="1"/>
  <c r="F448" i="1"/>
  <c r="F432" i="1"/>
  <c r="F412" i="1"/>
  <c r="F384" i="1"/>
  <c r="F352" i="1"/>
  <c r="F340" i="1"/>
  <c r="F288" i="1"/>
  <c r="F280" i="1"/>
  <c r="F272" i="1"/>
  <c r="F268" i="1"/>
  <c r="F252" i="1"/>
  <c r="F204" i="1"/>
  <c r="F196" i="1"/>
  <c r="F192" i="1"/>
  <c r="F164" i="1"/>
  <c r="F160" i="1"/>
  <c r="F148" i="1"/>
  <c r="F136" i="1"/>
  <c r="F128" i="1"/>
  <c r="F108" i="1"/>
</calcChain>
</file>

<file path=xl/sharedStrings.xml><?xml version="1.0" encoding="utf-8"?>
<sst xmlns="http://schemas.openxmlformats.org/spreadsheetml/2006/main" count="6021" uniqueCount="554">
  <si>
    <t>Currency Code</t>
  </si>
  <si>
    <t>Spend</t>
  </si>
  <si>
    <t>Impressions</t>
  </si>
  <si>
    <t>StartDate</t>
  </si>
  <si>
    <t>EndDate</t>
  </si>
  <si>
    <t>CountryCode</t>
  </si>
  <si>
    <t>USD</t>
  </si>
  <si>
    <t>2020/02/23 21:48:50Z</t>
  </si>
  <si>
    <t>2020/03/04 00:30:00Z</t>
  </si>
  <si>
    <t>united states</t>
  </si>
  <si>
    <t>EUR</t>
  </si>
  <si>
    <t>2020/02/04 10:42:19Z</t>
  </si>
  <si>
    <t>2020/02/10 10:42:19Z</t>
  </si>
  <si>
    <t>switzerland</t>
  </si>
  <si>
    <t>2020/01/08 15:00:00Z</t>
  </si>
  <si>
    <t>2020/04/01 03:59:59Z</t>
  </si>
  <si>
    <t>2020/02/23 20:43:21Z</t>
  </si>
  <si>
    <t>2020/02/03 18:59:29Z</t>
  </si>
  <si>
    <t>2020/01/29 15:00:00Z</t>
  </si>
  <si>
    <t>2020/01/23 19:57:58Z</t>
  </si>
  <si>
    <t>2020/02/04 04:59:00Z</t>
  </si>
  <si>
    <t>2019/10/18 20:49:11Z</t>
  </si>
  <si>
    <t>2020/05/31 20:00:00Z</t>
  </si>
  <si>
    <t>2020/02/21 22:25:58Z</t>
  </si>
  <si>
    <t>2020/03/04 00:00:00Z</t>
  </si>
  <si>
    <t>2020/02/19 04:10:44Z</t>
  </si>
  <si>
    <t>2020/02/04 04:59:59Z</t>
  </si>
  <si>
    <t>2020/01/17 12:31:02Z</t>
  </si>
  <si>
    <t>ireland</t>
  </si>
  <si>
    <t>2020/01/04 03:17:48Z</t>
  </si>
  <si>
    <t>2020/01/22 17:47:29Z</t>
  </si>
  <si>
    <t>2020/02/06 05:42:51Z</t>
  </si>
  <si>
    <t>2020/01/26 14:00:00Z</t>
  </si>
  <si>
    <t>2020/02/03 15:00:00Z</t>
  </si>
  <si>
    <t>2020/02/14 22:59:59Z</t>
  </si>
  <si>
    <t>denmark</t>
  </si>
  <si>
    <t>2020/01/17 12:31:03Z</t>
  </si>
  <si>
    <t>2020/02/07 20:33:41Z</t>
  </si>
  <si>
    <t>2020/02/11 21:30:00Z</t>
  </si>
  <si>
    <t>CAD</t>
  </si>
  <si>
    <t>2020/02/01 21:07:34Z</t>
  </si>
  <si>
    <t>canada</t>
  </si>
  <si>
    <t>2020/01/23 13:00:47Z</t>
  </si>
  <si>
    <t>2020/01/29 22:59:59Z</t>
  </si>
  <si>
    <t>2020/02/20 08:01:13Z</t>
  </si>
  <si>
    <t>2020/01/01 15:03:02Z</t>
  </si>
  <si>
    <t>2020/02/01 07:59:59Z</t>
  </si>
  <si>
    <t>2020/02/06 06:17:22Z</t>
  </si>
  <si>
    <t>2020/01/02 21:21:06Z</t>
  </si>
  <si>
    <t>2020/01/09 21:21:06Z</t>
  </si>
  <si>
    <t>germany</t>
  </si>
  <si>
    <t>2020/02/06 21:21:58Z</t>
  </si>
  <si>
    <t>2020/03/01 04:59:59Z</t>
  </si>
  <si>
    <t>2020/01/17 12:30:35Z</t>
  </si>
  <si>
    <t>2020/01/21 23:59:59Z</t>
  </si>
  <si>
    <t>2020/01/20 21:03:52Z</t>
  </si>
  <si>
    <t>GBP</t>
  </si>
  <si>
    <t>2020/01/21 12:48:49Z</t>
  </si>
  <si>
    <t>2020/03/02 07:59:59Z</t>
  </si>
  <si>
    <t>united kingdom</t>
  </si>
  <si>
    <t>2020/02/04 15:51:38Z</t>
  </si>
  <si>
    <t>2020/03/01 07:59:59Z</t>
  </si>
  <si>
    <t>2020/02/08 05:00:00Z</t>
  </si>
  <si>
    <t>2020/02/16 04:59:59Z</t>
  </si>
  <si>
    <t>2020/01/23 20:39:12Z</t>
  </si>
  <si>
    <t>2020/02/27 04:59:12Z</t>
  </si>
  <si>
    <t>2020/01/08 22:07:18Z</t>
  </si>
  <si>
    <t>2020/01/08 17:00:00Z</t>
  </si>
  <si>
    <t>2020/01/30 01:00:00Z</t>
  </si>
  <si>
    <t>2020/02/21 19:00:52Z</t>
  </si>
  <si>
    <t>2019/11/19 17:10:56Z</t>
  </si>
  <si>
    <t>2020/02/08 04:59:59Z</t>
  </si>
  <si>
    <t>2020/01/03 16:24:16Z</t>
  </si>
  <si>
    <t>2020/02/12 04:59:16Z</t>
  </si>
  <si>
    <t>2020/01/28 01:59:46Z</t>
  </si>
  <si>
    <t>2020/02/07 07:59:59Z</t>
  </si>
  <si>
    <t>2020/01/09 08:00:01Z</t>
  </si>
  <si>
    <t>2020/03/01 22:59:59Z</t>
  </si>
  <si>
    <t>france</t>
  </si>
  <si>
    <t>2020/01/03 16:15:19Z</t>
  </si>
  <si>
    <t>2020/01/01 04:59:16Z</t>
  </si>
  <si>
    <t>2020/01/06 14:40:00Z</t>
  </si>
  <si>
    <t>2020/02/01 04:59:59Z</t>
  </si>
  <si>
    <t>2020/01/24 18:15:00Z</t>
  </si>
  <si>
    <t>2021/01/01 04:30:22Z</t>
  </si>
  <si>
    <t>2020/02/12 13:00:00Z</t>
  </si>
  <si>
    <t>2020/04/02 21:59:59Z</t>
  </si>
  <si>
    <t>norway</t>
  </si>
  <si>
    <t>2020/01/20 11:14:43Z</t>
  </si>
  <si>
    <t>2020/01/28 23:59:59Z</t>
  </si>
  <si>
    <t>2020/02/06 05:04:22Z</t>
  </si>
  <si>
    <t>2020/03/04 00:30:59Z</t>
  </si>
  <si>
    <t>2020/01/31 10:27:54Z</t>
  </si>
  <si>
    <t>2020/01/07 00:50:06Z</t>
  </si>
  <si>
    <t>2020/02/01 21:16:14Z</t>
  </si>
  <si>
    <t>2020/01/08 08:47:16Z</t>
  </si>
  <si>
    <t>2020/01/25 22:59:59Z</t>
  </si>
  <si>
    <t>2020/01/20 10:00:16Z</t>
  </si>
  <si>
    <t>2020/01/28 23:59:01Z</t>
  </si>
  <si>
    <t>2020/02/05 16:49:42Z</t>
  </si>
  <si>
    <t>2020/02/29 16:49:42Z</t>
  </si>
  <si>
    <t>2020/02/12 21:14:31Z</t>
  </si>
  <si>
    <t>2020/02/28 23:59:59Z</t>
  </si>
  <si>
    <t>2020/02/06 06:28:43Z</t>
  </si>
  <si>
    <t>2020/02/04 04:59:16Z</t>
  </si>
  <si>
    <t>2020/01/16 00:00:01Z</t>
  </si>
  <si>
    <t>2020/01/17 23:59:59Z</t>
  </si>
  <si>
    <t>2020/02/21 19:05:34Z</t>
  </si>
  <si>
    <t>2020/02/18 22:55:49Z</t>
  </si>
  <si>
    <t>2020/01/18 16:19:00Z</t>
  </si>
  <si>
    <t>2020/02/03 19:11:56Z</t>
  </si>
  <si>
    <t>2020/01/29 02:30:00Z</t>
  </si>
  <si>
    <t>2020/01/31 19:25:18Z</t>
  </si>
  <si>
    <t>2019/11/18 20:00:00Z</t>
  </si>
  <si>
    <t>2020/08/31 03:59:59Z</t>
  </si>
  <si>
    <t>2020/02/28 21:00:00Z</t>
  </si>
  <si>
    <t>2020/01/13 14:00:00Z</t>
  </si>
  <si>
    <t>2020/02/10 02:59:59Z</t>
  </si>
  <si>
    <t>2020/01/13 14:17:32Z</t>
  </si>
  <si>
    <t>2020/01/13 23:59:59Z</t>
  </si>
  <si>
    <t>2020/01/19 00:00:01Z</t>
  </si>
  <si>
    <t>2020/01/20 23:59:59Z</t>
  </si>
  <si>
    <t>2020/02/04 20:55:51Z</t>
  </si>
  <si>
    <t>2020/02/08 20:55:51Z</t>
  </si>
  <si>
    <t>2020/02/17 19:09:13Z</t>
  </si>
  <si>
    <t>2020/01/23 20:42:47Z</t>
  </si>
  <si>
    <t>2020/01/30 20:42:47Z</t>
  </si>
  <si>
    <t>AUD</t>
  </si>
  <si>
    <t>2020/02/14 21:00:00Z</t>
  </si>
  <si>
    <t>2020/02/19 12:00:00Z</t>
  </si>
  <si>
    <t>australia</t>
  </si>
  <si>
    <t>2020/01/24 19:47:07Z</t>
  </si>
  <si>
    <t>2020/01/29 15:00:03Z</t>
  </si>
  <si>
    <t>2020/02/22 17:09:02Z</t>
  </si>
  <si>
    <t>2020/03/03 17:00:59Z</t>
  </si>
  <si>
    <t>2020/01/21 15:22:24Z</t>
  </si>
  <si>
    <t>2020/01/31 21:26:06Z</t>
  </si>
  <si>
    <t>2020/02/04 05:59:58Z</t>
  </si>
  <si>
    <t>2020/02/18 18:31:17Z</t>
  </si>
  <si>
    <t>2020/01/08 08:46:31Z</t>
  </si>
  <si>
    <t>2020/02/23 21:30:10Z</t>
  </si>
  <si>
    <t>2020/01/31 16:00:00Z</t>
  </si>
  <si>
    <t>2020/02/01 02:00:00Z</t>
  </si>
  <si>
    <t>2020/02/04 23:20:38Z</t>
  </si>
  <si>
    <t>2020/02/11 20:00:38Z</t>
  </si>
  <si>
    <t>2020/01/03 09:45:56Z</t>
  </si>
  <si>
    <t>2020/01/10 09:45:56Z</t>
  </si>
  <si>
    <t>2020/02/10 21:48:42Z</t>
  </si>
  <si>
    <t>2020/05/31 20:00:59Z</t>
  </si>
  <si>
    <t>2020/01/08 17:05:00Z</t>
  </si>
  <si>
    <t>2020/01/29 04:59:59Z</t>
  </si>
  <si>
    <t>2020/02/07 06:41:54Z</t>
  </si>
  <si>
    <t>2020/01/28 03:59:12Z</t>
  </si>
  <si>
    <t>2020/02/29 07:59:59Z</t>
  </si>
  <si>
    <t>2020/01/08 17:10:00Z</t>
  </si>
  <si>
    <t>2020/01/02 21:38:28Z</t>
  </si>
  <si>
    <t>2020/01/21 19:41:54Z</t>
  </si>
  <si>
    <t>2020/01/23 05:59:59Z</t>
  </si>
  <si>
    <t>2020/02/17 14:08:39Z</t>
  </si>
  <si>
    <t>2020/06/01 03:59:59Z</t>
  </si>
  <si>
    <t>2020/01/07 16:48:35Z</t>
  </si>
  <si>
    <t>2020/01/19 22:59:59Z</t>
  </si>
  <si>
    <t>2020/01/10 17:23:38Z</t>
  </si>
  <si>
    <t>2020/01/16 04:59:59Z</t>
  </si>
  <si>
    <t>2020/01/28 18:54:28Z</t>
  </si>
  <si>
    <t>2020/01/31 18:54:28Z</t>
  </si>
  <si>
    <t>2020/02/16 21:00:00Z</t>
  </si>
  <si>
    <t>2020/02/28 12:00:00Z</t>
  </si>
  <si>
    <t>2020/02/10 01:45:14Z</t>
  </si>
  <si>
    <t>2020/02/12 01:45:45Z</t>
  </si>
  <si>
    <t>2020/02/01 14:00:35Z</t>
  </si>
  <si>
    <t>2020/03/01 00:10:59Z</t>
  </si>
  <si>
    <t>2020/02/03 07:02:56Z</t>
  </si>
  <si>
    <t>2020/02/17 05:59:59Z</t>
  </si>
  <si>
    <t>2020/01/20 11:00:00Z</t>
  </si>
  <si>
    <t>2020/03/23 02:00:00Z</t>
  </si>
  <si>
    <t>2020/02/20 13:49:18Z</t>
  </si>
  <si>
    <t>2020/02/29 13:49:18Z</t>
  </si>
  <si>
    <t>2020/01/04 17:27:46Z</t>
  </si>
  <si>
    <t>2020/01/31 17:27:46Z</t>
  </si>
  <si>
    <t>2020/02/09 05:38:38Z</t>
  </si>
  <si>
    <t>2020/02/12 05:00:00Z</t>
  </si>
  <si>
    <t>2020/02/09 05:30:25Z</t>
  </si>
  <si>
    <t>2020/02/11 21:00:00Z</t>
  </si>
  <si>
    <t>2020/01/24 08:08:01Z</t>
  </si>
  <si>
    <t>2020/01/15 13:38:50Z</t>
  </si>
  <si>
    <t>2020/01/29 13:23:10Z</t>
  </si>
  <si>
    <t>sweden</t>
  </si>
  <si>
    <t>2020/01/20 18:15:47Z</t>
  </si>
  <si>
    <t>2020/01/22 22:00:00Z</t>
  </si>
  <si>
    <t>2020/02/08 04:59:00Z</t>
  </si>
  <si>
    <t>2020/02/14 23:24:23Z</t>
  </si>
  <si>
    <t>2020/01/11 00:00:01Z</t>
  </si>
  <si>
    <t>2020/01/12 23:59:59Z</t>
  </si>
  <si>
    <t>2020/01/04 20:37:52Z</t>
  </si>
  <si>
    <t>2020/01/30 17:41:28Z</t>
  </si>
  <si>
    <t>2020/01/24 19:47:06Z</t>
  </si>
  <si>
    <t>2020/01/16 23:53:58Z</t>
  </si>
  <si>
    <t>2020/02/11 23:53:58Z</t>
  </si>
  <si>
    <t>2020/01/10 21:48:51Z</t>
  </si>
  <si>
    <t>2020/01/20 17:37:07Z</t>
  </si>
  <si>
    <t>2019/11/06 22:30:22Z</t>
  </si>
  <si>
    <t>2020/01/31 20:18:22Z</t>
  </si>
  <si>
    <t>2020/02/19 22:20:15Z</t>
  </si>
  <si>
    <t>2020/01/29 00:00:01Z</t>
  </si>
  <si>
    <t>2020/01/30 23:59:59Z</t>
  </si>
  <si>
    <t>2020/02/03 19:26:04Z</t>
  </si>
  <si>
    <t>2020/01/14 18:11:05Z</t>
  </si>
  <si>
    <t>2020/01/27 23:00:00Z</t>
  </si>
  <si>
    <t>2020/02/22 12:59:59Z</t>
  </si>
  <si>
    <t>2020/01/10 17:36:02Z</t>
  </si>
  <si>
    <t>2019/09/12 17:41:08Z</t>
  </si>
  <si>
    <t>2020/02/20 04:59:59Z</t>
  </si>
  <si>
    <t>2020/01/14 17:50:05Z</t>
  </si>
  <si>
    <t>2020/01/25 00:00:01Z</t>
  </si>
  <si>
    <t>2020/01/26 23:59:59Z</t>
  </si>
  <si>
    <t>2020/02/01 13:00:00Z</t>
  </si>
  <si>
    <t>2020/02/01 19:00:00Z</t>
  </si>
  <si>
    <t>2020/02/18 23:53:45Z</t>
  </si>
  <si>
    <t>2020/02/19 22:17:47Z</t>
  </si>
  <si>
    <t>2020/01/06 05:30:55Z</t>
  </si>
  <si>
    <t>2020/01/11 22:30:55Z</t>
  </si>
  <si>
    <t>2020/01/21 00:00:01Z</t>
  </si>
  <si>
    <t>2020/01/22 23:59:59Z</t>
  </si>
  <si>
    <t>2020/01/15 04:59:59Z</t>
  </si>
  <si>
    <t>2020/02/03 23:47:52Z</t>
  </si>
  <si>
    <t>2020/01/12 23:00:00Z</t>
  </si>
  <si>
    <t>2020/01/26 12:59:59Z</t>
  </si>
  <si>
    <t>2020/01/30 00:00:01Z</t>
  </si>
  <si>
    <t>2020/01/31 23:59:59Z</t>
  </si>
  <si>
    <t>2020/01/25 21:46:05Z</t>
  </si>
  <si>
    <t>2020/02/05 21:46:05Z</t>
  </si>
  <si>
    <t>2020/01/30 18:50:02Z</t>
  </si>
  <si>
    <t>2020/02/11 22:00:00Z</t>
  </si>
  <si>
    <t>2020/01/14 17:53:34Z</t>
  </si>
  <si>
    <t>2020/02/19 13:00:00Z</t>
  </si>
  <si>
    <t>2020/02/20 06:59:59Z</t>
  </si>
  <si>
    <t>2020/01/18 22:29:10Z</t>
  </si>
  <si>
    <t>2020/02/09 05:40:38Z</t>
  </si>
  <si>
    <t>2020/01/28 23:58:02Z</t>
  </si>
  <si>
    <t>2020/02/18 22:51:22Z</t>
  </si>
  <si>
    <t>2020/01/15 06:00:36Z</t>
  </si>
  <si>
    <t>2020/02/15 22:06:05Z</t>
  </si>
  <si>
    <t>2020/02/19 22:06:05Z</t>
  </si>
  <si>
    <t>2020/02/18 05:00:00Z</t>
  </si>
  <si>
    <t>2020/03/17 03:59:59Z</t>
  </si>
  <si>
    <t>2020/01/06 21:00:42Z</t>
  </si>
  <si>
    <t>2020/01/10 22:59:59Z</t>
  </si>
  <si>
    <t>2020/02/21 15:47:41Z</t>
  </si>
  <si>
    <t>2020/02/20 02:20:24Z</t>
  </si>
  <si>
    <t>2020/03/04 07:59:59Z</t>
  </si>
  <si>
    <t>2020/02/02 21:02:33Z</t>
  </si>
  <si>
    <t>2020/02/05 04:59:55Z</t>
  </si>
  <si>
    <t>2020/01/18 22:27:02Z</t>
  </si>
  <si>
    <t>2020/01/29 07:34:23Z</t>
  </si>
  <si>
    <t>2020/01/31 20:10:23Z</t>
  </si>
  <si>
    <t>2020/02/02 23:00:00Z</t>
  </si>
  <si>
    <t>2020/02/29 12:59:59Z</t>
  </si>
  <si>
    <t>2020/01/14 18:05:49Z</t>
  </si>
  <si>
    <t>2020/01/06 14:00:00Z</t>
  </si>
  <si>
    <t>2020/01/19 07:59:59Z</t>
  </si>
  <si>
    <t>2020/02/01 05:00:00Z</t>
  </si>
  <si>
    <t>2020/01/16 22:37:18Z</t>
  </si>
  <si>
    <t>2020/02/10 22:37:18Z</t>
  </si>
  <si>
    <t>2020/01/04 17:25:43Z</t>
  </si>
  <si>
    <t>2020/01/07 03:09:54Z</t>
  </si>
  <si>
    <t>2020/01/14 17:44:37Z</t>
  </si>
  <si>
    <t>2019/12/20 07:53:39Z</t>
  </si>
  <si>
    <t>2020/01/12 07:40:59Z</t>
  </si>
  <si>
    <t>2020/02/13 22:45:02Z</t>
  </si>
  <si>
    <t>2020/05/31 21:45:02Z</t>
  </si>
  <si>
    <t>2020/01/17 13:35:53Z</t>
  </si>
  <si>
    <t>2020/02/02 22:59:59Z</t>
  </si>
  <si>
    <t>2020/02/18 05:13:47Z</t>
  </si>
  <si>
    <t>2020/02/22 19:08:15Z</t>
  </si>
  <si>
    <t>2020/03/03 17:00:15Z</t>
  </si>
  <si>
    <t>2020/01/02 21:31:07Z</t>
  </si>
  <si>
    <t>2020/01/09 21:31:07Z</t>
  </si>
  <si>
    <t>2020/02/11 23:13:51Z</t>
  </si>
  <si>
    <t>2020/03/04 05:59:00Z</t>
  </si>
  <si>
    <t>2020/02/03 18:56:40Z</t>
  </si>
  <si>
    <t>2020/01/24 00:00:01Z</t>
  </si>
  <si>
    <t>2020/01/25 23:59:59Z</t>
  </si>
  <si>
    <t>2020/02/12 05:43:52Z</t>
  </si>
  <si>
    <t>2020/01/23 17:00:00Z</t>
  </si>
  <si>
    <t>2020/02/20 13:50:28Z</t>
  </si>
  <si>
    <t>2020/02/29 13:50:28Z</t>
  </si>
  <si>
    <t>2020/01/02 12:38:16Z</t>
  </si>
  <si>
    <t>2020/01/06 20:59:59Z</t>
  </si>
  <si>
    <t>2020/01/04 20:55:49Z</t>
  </si>
  <si>
    <t>2020/01/25 20:13:02Z</t>
  </si>
  <si>
    <t>2020/01/31 20:13:02Z</t>
  </si>
  <si>
    <t>2020/02/02 21:05:38Z</t>
  </si>
  <si>
    <t>2020/02/05 04:59:05Z</t>
  </si>
  <si>
    <t>2020/02/18 16:50:59Z</t>
  </si>
  <si>
    <t>2020/01/14 18:13:11Z</t>
  </si>
  <si>
    <t>2020/02/18 00:18:50Z</t>
  </si>
  <si>
    <t>2020/03/13 21:00:00Z</t>
  </si>
  <si>
    <t>2020/02/04 23:14:04Z</t>
  </si>
  <si>
    <t>2020/02/11 20:00:04Z</t>
  </si>
  <si>
    <t>2020/01/15 21:31:43Z</t>
  </si>
  <si>
    <t>2020/02/12 05:59:59Z</t>
  </si>
  <si>
    <t>2020/02/19 14:04:24Z</t>
  </si>
  <si>
    <t>2020/02/22 12:00:00Z</t>
  </si>
  <si>
    <t>2020/02/07 07:00:35Z</t>
  </si>
  <si>
    <t>2020/01/23 11:09:09Z</t>
  </si>
  <si>
    <t>2020/02/03 16:00:57Z</t>
  </si>
  <si>
    <t>2020/02/02 05:23:01Z</t>
  </si>
  <si>
    <t>2020/02/01 05:59:59Z</t>
  </si>
  <si>
    <t>2020/01/16 01:26:32Z</t>
  </si>
  <si>
    <t>2020/02/19 22:21:31Z</t>
  </si>
  <si>
    <t>2020/02/06 21:44:22Z</t>
  </si>
  <si>
    <t>2020/02/10 04:59:59Z</t>
  </si>
  <si>
    <t>2020/01/02 23:00:00Z</t>
  </si>
  <si>
    <t>2020/01/07 22:59:59Z</t>
  </si>
  <si>
    <t>2020/02/21 18:02:56Z</t>
  </si>
  <si>
    <t>2020/03/02 18:02:56Z</t>
  </si>
  <si>
    <t>2020/01/22 02:34:35Z</t>
  </si>
  <si>
    <t>2020/02/04 23:43:21Z</t>
  </si>
  <si>
    <t>2020/02/11 20:00:00Z</t>
  </si>
  <si>
    <t>2020/01/10 22:51:51Z</t>
  </si>
  <si>
    <t>2020/01/30 18:51:41Z</t>
  </si>
  <si>
    <t>2020/02/07 07:03:10Z</t>
  </si>
  <si>
    <t>2020/01/11 00:20:35Z</t>
  </si>
  <si>
    <t>2020/01/15 05:59:59Z</t>
  </si>
  <si>
    <t>2020/01/29 00:07:53Z</t>
  </si>
  <si>
    <t>2020/02/01 00:04:30Z</t>
  </si>
  <si>
    <t>2020/02/07 05:52:47Z</t>
  </si>
  <si>
    <t>2020/01/22 02:34:27Z</t>
  </si>
  <si>
    <t>2020/02/20 13:51:25Z</t>
  </si>
  <si>
    <t>2020/02/29 13:51:25Z</t>
  </si>
  <si>
    <t>2020/02/07 17:32:03Z</t>
  </si>
  <si>
    <t>2020/01/22 18:00:37Z</t>
  </si>
  <si>
    <t>2020/02/05 21:00:00Z</t>
  </si>
  <si>
    <t>2020/01/18 00:00:01Z</t>
  </si>
  <si>
    <t>2020/01/19 23:59:59Z</t>
  </si>
  <si>
    <t>2020/02/07 06:51:44Z</t>
  </si>
  <si>
    <t>2020/01/16 09:00:00Z</t>
  </si>
  <si>
    <t>2020/03/30 22:59:59Z</t>
  </si>
  <si>
    <t>2020/02/19 22:12:24Z</t>
  </si>
  <si>
    <t>2020/03/30 03:59:59Z</t>
  </si>
  <si>
    <t>2020/01/22 13:20:53Z</t>
  </si>
  <si>
    <t>2020/02/03 13:19:53Z</t>
  </si>
  <si>
    <t>2020/01/16 23:42:20Z</t>
  </si>
  <si>
    <t>2020/02/10 23:42:20Z</t>
  </si>
  <si>
    <t>2020/02/21 15:48:48Z</t>
  </si>
  <si>
    <t>2020/02/14 14:51:02Z</t>
  </si>
  <si>
    <t>2020/02/03 15:45:21Z</t>
  </si>
  <si>
    <t>2020/02/07 06:45:43Z</t>
  </si>
  <si>
    <t>2020/01/16 23:02:24Z</t>
  </si>
  <si>
    <t>2020/02/04 20:53:06Z</t>
  </si>
  <si>
    <t>2020/02/08 20:53:06Z</t>
  </si>
  <si>
    <t>2020/02/04 23:04:40Z</t>
  </si>
  <si>
    <t>2020/01/22 15:05:50Z</t>
  </si>
  <si>
    <t>2020/01/23 15:04:05Z</t>
  </si>
  <si>
    <t>2020/01/02 21:38:24Z</t>
  </si>
  <si>
    <t>2020/02/01 13:00:17Z</t>
  </si>
  <si>
    <t>2020/01/23 14:00:00Z</t>
  </si>
  <si>
    <t>2020/02/11 23:16:18Z</t>
  </si>
  <si>
    <t>2020/03/03 17:59:00Z</t>
  </si>
  <si>
    <t>2020/02/07 10:09:48Z</t>
  </si>
  <si>
    <t>2020/02/13 10:09:48Z</t>
  </si>
  <si>
    <t>2020/02/21 18:07:51Z</t>
  </si>
  <si>
    <t>2020/01/23 13:54:41Z</t>
  </si>
  <si>
    <t>2020/01/22 05:19:23Z</t>
  </si>
  <si>
    <t>2020/02/08 15:00:00Z</t>
  </si>
  <si>
    <t>2020/02/18 22:57:04Z</t>
  </si>
  <si>
    <t>2020/02/19 22:24:50Z</t>
  </si>
  <si>
    <t>2020/01/30 04:55:17Z</t>
  </si>
  <si>
    <t>2020/02/03 23:20:21Z</t>
  </si>
  <si>
    <t>2020/02/10 23:20:21Z</t>
  </si>
  <si>
    <t>2020/02/10 14:00:00Z</t>
  </si>
  <si>
    <t>2020/01/08 19:56:36Z</t>
  </si>
  <si>
    <t>2020/01/23 00:00:01Z</t>
  </si>
  <si>
    <t>2020/01/24 23:59:59Z</t>
  </si>
  <si>
    <t>2020/02/08 17:30:06Z</t>
  </si>
  <si>
    <t>2020/01/28 00:00:01Z</t>
  </si>
  <si>
    <t>2020/01/20 18:15:49Z</t>
  </si>
  <si>
    <t>2020/02/18 00:27:38Z</t>
  </si>
  <si>
    <t>2020/01/29 18:56:31Z</t>
  </si>
  <si>
    <t>2020/02/07 18:56:31Z</t>
  </si>
  <si>
    <t>2020/01/16 23:49:41Z</t>
  </si>
  <si>
    <t>2020/02/11 23:49:41Z</t>
  </si>
  <si>
    <t>2020/01/28 08:37:09Z</t>
  </si>
  <si>
    <t>2020/02/04 08:37:09Z</t>
  </si>
  <si>
    <t>2020/01/14 18:08:54Z</t>
  </si>
  <si>
    <t>2020/02/20 18:02:19Z</t>
  </si>
  <si>
    <t>2020/01/15 05:00:00Z</t>
  </si>
  <si>
    <t>2020/01/26 22:30:00Z</t>
  </si>
  <si>
    <t>2020/02/07 05:09:05Z</t>
  </si>
  <si>
    <t>2020/02/07 06:48:25Z</t>
  </si>
  <si>
    <t>2020/01/28 20:29:01Z</t>
  </si>
  <si>
    <t>2020/01/30 21:00:00Z</t>
  </si>
  <si>
    <t>2020/01/31 05:59:59Z</t>
  </si>
  <si>
    <t>2020/01/10 02:11:36Z</t>
  </si>
  <si>
    <t>2020/02/03 18:59:30Z</t>
  </si>
  <si>
    <t>2020/01/18 17:16:21Z</t>
  </si>
  <si>
    <t>2020/02/04 20:59:10Z</t>
  </si>
  <si>
    <t>2020/02/08 20:59:10Z</t>
  </si>
  <si>
    <t>2020/01/14 18:00:16Z</t>
  </si>
  <si>
    <t>2020/02/19 04:14:48Z</t>
  </si>
  <si>
    <t>2020/01/27 11:39:23Z</t>
  </si>
  <si>
    <t>2020/02/03 14:35:34Z</t>
  </si>
  <si>
    <t>2020/02/21 19:10:05Z</t>
  </si>
  <si>
    <t>2020/02/24 05:00:00Z</t>
  </si>
  <si>
    <t>2020/02/04 23:48:08Z</t>
  </si>
  <si>
    <t>2020/02/03 15:23:12Z</t>
  </si>
  <si>
    <t>2020/02/11 06:04:02Z</t>
  </si>
  <si>
    <t>2020/02/17 07:59:59Z</t>
  </si>
  <si>
    <t>2020/01/15 17:23:38Z</t>
  </si>
  <si>
    <t>2020/02/18 22:53:56Z</t>
  </si>
  <si>
    <t>2020/02/02 05:41:37Z</t>
  </si>
  <si>
    <t>2020/01/20 12:51:03Z</t>
  </si>
  <si>
    <t>2020/02/07 22:10:45Z</t>
  </si>
  <si>
    <t>2020/02/20 18:06:55Z</t>
  </si>
  <si>
    <t>2020/02/04 21:10:56Z</t>
  </si>
  <si>
    <t>2020/02/08 20:10:56Z</t>
  </si>
  <si>
    <t>2020/02/19 22:23:24Z</t>
  </si>
  <si>
    <t>2020/01/19 20:09:42Z</t>
  </si>
  <si>
    <t>2020/01/26 20:09:42Z</t>
  </si>
  <si>
    <t>2020/02/07 06:38:37Z</t>
  </si>
  <si>
    <t>2020/02/20 02:27:09Z</t>
  </si>
  <si>
    <t>2020/02/02 14:30:16Z</t>
  </si>
  <si>
    <t>2020/01/15 11:11:32Z</t>
  </si>
  <si>
    <t>2020/01/28 08:34:53Z</t>
  </si>
  <si>
    <t>2020/02/29 22:59:59Z</t>
  </si>
  <si>
    <t>2020/02/07 11:36:42Z</t>
  </si>
  <si>
    <t>2020/02/08 18:59:59Z</t>
  </si>
  <si>
    <t>2020/02/04 23:27:29Z</t>
  </si>
  <si>
    <t>2020/02/08 23:27:29Z</t>
  </si>
  <si>
    <t>2020/01/08 21:56:59Z</t>
  </si>
  <si>
    <t>2020/01/31 22:14:29Z</t>
  </si>
  <si>
    <t>2020/02/12 05:57:49Z</t>
  </si>
  <si>
    <t>2020/02/19 22:26:19Z</t>
  </si>
  <si>
    <t>2020/01/18 22:32:16Z</t>
  </si>
  <si>
    <t>2020/02/05 17:00:09Z</t>
  </si>
  <si>
    <t>2020/02/12 17:00:09Z</t>
  </si>
  <si>
    <t>2020/02/07 06:30:48Z</t>
  </si>
  <si>
    <t>2020/01/25 21:40:07Z</t>
  </si>
  <si>
    <t>2020/02/01 21:40:07Z</t>
  </si>
  <si>
    <t>2020/01/30 00:16:51Z</t>
  </si>
  <si>
    <t>2020/02/11 17:59:00Z</t>
  </si>
  <si>
    <t>2020/02/04 23:24:03Z</t>
  </si>
  <si>
    <t>2020/02/11 20:00:03Z</t>
  </si>
  <si>
    <t>2020/02/24 02:08:18Z</t>
  </si>
  <si>
    <t>2020/02/25 05:59:59Z</t>
  </si>
  <si>
    <t>2020/01/14 18:02:19Z</t>
  </si>
  <si>
    <t>2020/01/08 00:18:39Z</t>
  </si>
  <si>
    <t>2020/02/29 05:59:59Z</t>
  </si>
  <si>
    <t>2020/01/14 10:53:21Z</t>
  </si>
  <si>
    <t>2020/01/15 23:59:59Z</t>
  </si>
  <si>
    <t>2020/01/14 17:41:26Z</t>
  </si>
  <si>
    <t>2020/01/07 16:46:16Z</t>
  </si>
  <si>
    <t>2020/01/06 18:25:50Z</t>
  </si>
  <si>
    <t>End</t>
  </si>
  <si>
    <t>Start</t>
  </si>
  <si>
    <t>Days</t>
  </si>
  <si>
    <t>2020/02/23</t>
  </si>
  <si>
    <t>2020/03/04</t>
  </si>
  <si>
    <t>2020/01/08</t>
  </si>
  <si>
    <t>2020/04/01</t>
  </si>
  <si>
    <t>2020/01/29</t>
  </si>
  <si>
    <t>2020/01/23</t>
  </si>
  <si>
    <t>2020/02/04</t>
  </si>
  <si>
    <t>2019/10/18</t>
  </si>
  <si>
    <t>2020/05/31</t>
  </si>
  <si>
    <t>2020/02/21</t>
  </si>
  <si>
    <t>2020/02/06</t>
  </si>
  <si>
    <t>2020/02/07</t>
  </si>
  <si>
    <t>2020/02/11</t>
  </si>
  <si>
    <t>2020/01/01</t>
  </si>
  <si>
    <t>2020/02/01</t>
  </si>
  <si>
    <t>2020/03/01</t>
  </si>
  <si>
    <t>2020/01/20</t>
  </si>
  <si>
    <t>2020/02/08</t>
  </si>
  <si>
    <t>2020/02/16</t>
  </si>
  <si>
    <t>2020/02/27</t>
  </si>
  <si>
    <t>2020/01/30</t>
  </si>
  <si>
    <t>2019/11/19</t>
  </si>
  <si>
    <t>2020/01/03</t>
  </si>
  <si>
    <t>2020/02/12</t>
  </si>
  <si>
    <t>2020/01/28</t>
  </si>
  <si>
    <t>2020/01/06</t>
  </si>
  <si>
    <t>2020/02/05</t>
  </si>
  <si>
    <t>2020/02/29</t>
  </si>
  <si>
    <t>2020/02/28</t>
  </si>
  <si>
    <t>2020/01/18</t>
  </si>
  <si>
    <t>2020/01/31</t>
  </si>
  <si>
    <t>2019/11/18</t>
  </si>
  <si>
    <t>2020/08/31</t>
  </si>
  <si>
    <t>2020/01/13</t>
  </si>
  <si>
    <t>2020/02/10</t>
  </si>
  <si>
    <t>2020/02/22</t>
  </si>
  <si>
    <t>2020/03/03</t>
  </si>
  <si>
    <t>2020/01/21</t>
  </si>
  <si>
    <t>2020/02/17</t>
  </si>
  <si>
    <t>2020/06/01</t>
  </si>
  <si>
    <t>2020/01/10</t>
  </si>
  <si>
    <t>2020/01/16</t>
  </si>
  <si>
    <t>2020/02/03</t>
  </si>
  <si>
    <t>2020/02/20</t>
  </si>
  <si>
    <t>2020/01/04</t>
  </si>
  <si>
    <t>2020/02/09</t>
  </si>
  <si>
    <t>2020/01/22</t>
  </si>
  <si>
    <t>2019/11/06</t>
  </si>
  <si>
    <t>2019/09/12</t>
  </si>
  <si>
    <t>2020/01/15</t>
  </si>
  <si>
    <t>2020/01/25</t>
  </si>
  <si>
    <t>2020/02/19</t>
  </si>
  <si>
    <t>2020/02/15</t>
  </si>
  <si>
    <t>2020/02/02</t>
  </si>
  <si>
    <t>2020/01/19</t>
  </si>
  <si>
    <t>2020/02/13</t>
  </si>
  <si>
    <t>2020/02/18</t>
  </si>
  <si>
    <t>2020/03/13</t>
  </si>
  <si>
    <t>2020/03/02</t>
  </si>
  <si>
    <t>2020/01/11</t>
  </si>
  <si>
    <t>2020/02/24</t>
  </si>
  <si>
    <t>2020/01/26</t>
  </si>
  <si>
    <t>2020/02/25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</si>
  <si>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</si>
  <si>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</si>
  <si>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</si>
  <si>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</si>
  <si>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</si>
  <si>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</si>
  <si>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</si>
  <si>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</si>
  <si>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</si>
  <si>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</si>
  <si>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</si>
  <si>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</si>
  <si>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</si>
  <si>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</si>
  <si>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</si>
  <si>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</si>
  <si>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</si>
  <si>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</si>
  <si>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</si>
  <si>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</si>
  <si>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</si>
  <si>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</si>
  <si>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</si>
  <si>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</si>
  <si>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</si>
  <si>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</si>
  <si>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Impressions</t>
  </si>
  <si>
    <t>Residuals</t>
  </si>
  <si>
    <t>PROBABILITY OUTPUT</t>
  </si>
  <si>
    <t>Percentile</t>
  </si>
  <si>
    <t>Slope</t>
  </si>
  <si>
    <t>R_squared</t>
  </si>
  <si>
    <t>Std_error</t>
  </si>
  <si>
    <t>avg_impressions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</si>
</sst>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6" fillId="0" borderId="0" xfId="0" applyFon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Impressions Associated with Dollars</a:t>
            </a:r>
            <a:r>
              <a:rPr lang="en-US" baseline="0"/>
              <a:t> Spent on Political Ads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'PoliticalAds 2020'!$C$1</c:f>
              <c:strCache>
                <c:ptCount val="1"/>
                <c:pt idx="0">
                  <c:v>Impressions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3991469816272965E-2"/>
                  <c:y val="-0.149065689705453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'PoliticalAds 2020'!$B$2:$B$1048155</c:f>
              <c:numCache>
                <c:formatCode>General</c:formatCode>
                <c:ptCount val="1048154"/>
                <c:pt idx="0">
                  <c:v>1</c:v>
                </c:pt>
                <c:pt idx="1">
                  <c:v>8749</c:v>
                </c:pt>
                <c:pt idx="2">
                  <c:v>2</c:v>
                </c:pt>
                <c:pt idx="3">
                  <c:v>924</c:v>
                </c:pt>
                <c:pt idx="4">
                  <c:v>7542</c:v>
                </c:pt>
                <c:pt idx="5">
                  <c:v>3334</c:v>
                </c:pt>
                <c:pt idx="6">
                  <c:v>300</c:v>
                </c:pt>
                <c:pt idx="7">
                  <c:v>124</c:v>
                </c:pt>
                <c:pt idx="8">
                  <c:v>149</c:v>
                </c:pt>
                <c:pt idx="9">
                  <c:v>223</c:v>
                </c:pt>
                <c:pt idx="10">
                  <c:v>122</c:v>
                </c:pt>
                <c:pt idx="11">
                  <c:v>510</c:v>
                </c:pt>
                <c:pt idx="12">
                  <c:v>302</c:v>
                </c:pt>
                <c:pt idx="13">
                  <c:v>257</c:v>
                </c:pt>
                <c:pt idx="14">
                  <c:v>86</c:v>
                </c:pt>
                <c:pt idx="15">
                  <c:v>8</c:v>
                </c:pt>
                <c:pt idx="16">
                  <c:v>3484</c:v>
                </c:pt>
                <c:pt idx="17">
                  <c:v>932</c:v>
                </c:pt>
                <c:pt idx="18">
                  <c:v>314</c:v>
                </c:pt>
                <c:pt idx="19">
                  <c:v>10969</c:v>
                </c:pt>
                <c:pt idx="20">
                  <c:v>193</c:v>
                </c:pt>
                <c:pt idx="21">
                  <c:v>188</c:v>
                </c:pt>
                <c:pt idx="22">
                  <c:v>182</c:v>
                </c:pt>
                <c:pt idx="23">
                  <c:v>12577</c:v>
                </c:pt>
                <c:pt idx="24">
                  <c:v>6134</c:v>
                </c:pt>
                <c:pt idx="25">
                  <c:v>686</c:v>
                </c:pt>
                <c:pt idx="26">
                  <c:v>238</c:v>
                </c:pt>
                <c:pt idx="27">
                  <c:v>183</c:v>
                </c:pt>
                <c:pt idx="28">
                  <c:v>20</c:v>
                </c:pt>
                <c:pt idx="29">
                  <c:v>1</c:v>
                </c:pt>
                <c:pt idx="30">
                  <c:v>560</c:v>
                </c:pt>
                <c:pt idx="31">
                  <c:v>293</c:v>
                </c:pt>
                <c:pt idx="32">
                  <c:v>6203</c:v>
                </c:pt>
                <c:pt idx="33">
                  <c:v>134</c:v>
                </c:pt>
                <c:pt idx="34">
                  <c:v>4973</c:v>
                </c:pt>
                <c:pt idx="35">
                  <c:v>3250</c:v>
                </c:pt>
                <c:pt idx="36">
                  <c:v>5</c:v>
                </c:pt>
                <c:pt idx="37">
                  <c:v>99</c:v>
                </c:pt>
                <c:pt idx="38">
                  <c:v>1989</c:v>
                </c:pt>
                <c:pt idx="39">
                  <c:v>1856</c:v>
                </c:pt>
                <c:pt idx="40">
                  <c:v>177</c:v>
                </c:pt>
                <c:pt idx="41">
                  <c:v>2114</c:v>
                </c:pt>
                <c:pt idx="42">
                  <c:v>827</c:v>
                </c:pt>
                <c:pt idx="43">
                  <c:v>125</c:v>
                </c:pt>
                <c:pt idx="44">
                  <c:v>6200</c:v>
                </c:pt>
                <c:pt idx="45">
                  <c:v>148</c:v>
                </c:pt>
                <c:pt idx="46">
                  <c:v>50</c:v>
                </c:pt>
                <c:pt idx="47">
                  <c:v>32</c:v>
                </c:pt>
                <c:pt idx="48">
                  <c:v>32</c:v>
                </c:pt>
                <c:pt idx="49">
                  <c:v>1121</c:v>
                </c:pt>
                <c:pt idx="50">
                  <c:v>35</c:v>
                </c:pt>
                <c:pt idx="51">
                  <c:v>555</c:v>
                </c:pt>
                <c:pt idx="52">
                  <c:v>878</c:v>
                </c:pt>
                <c:pt idx="53">
                  <c:v>275</c:v>
                </c:pt>
                <c:pt idx="54">
                  <c:v>130</c:v>
                </c:pt>
                <c:pt idx="55">
                  <c:v>5545</c:v>
                </c:pt>
                <c:pt idx="56">
                  <c:v>97</c:v>
                </c:pt>
                <c:pt idx="57">
                  <c:v>80</c:v>
                </c:pt>
                <c:pt idx="58">
                  <c:v>800</c:v>
                </c:pt>
                <c:pt idx="59">
                  <c:v>3320</c:v>
                </c:pt>
                <c:pt idx="60">
                  <c:v>11547</c:v>
                </c:pt>
                <c:pt idx="61">
                  <c:v>24496</c:v>
                </c:pt>
                <c:pt idx="62">
                  <c:v>32800</c:v>
                </c:pt>
                <c:pt idx="63">
                  <c:v>211</c:v>
                </c:pt>
                <c:pt idx="64">
                  <c:v>1963</c:v>
                </c:pt>
                <c:pt idx="65">
                  <c:v>80</c:v>
                </c:pt>
                <c:pt idx="66">
                  <c:v>457</c:v>
                </c:pt>
                <c:pt idx="67">
                  <c:v>38593</c:v>
                </c:pt>
                <c:pt idx="68">
                  <c:v>5247</c:v>
                </c:pt>
                <c:pt idx="69">
                  <c:v>2119</c:v>
                </c:pt>
                <c:pt idx="70">
                  <c:v>3349</c:v>
                </c:pt>
                <c:pt idx="71">
                  <c:v>5</c:v>
                </c:pt>
                <c:pt idx="72">
                  <c:v>54</c:v>
                </c:pt>
                <c:pt idx="73">
                  <c:v>450</c:v>
                </c:pt>
                <c:pt idx="74">
                  <c:v>41</c:v>
                </c:pt>
                <c:pt idx="75">
                  <c:v>256</c:v>
                </c:pt>
                <c:pt idx="76">
                  <c:v>402</c:v>
                </c:pt>
                <c:pt idx="77">
                  <c:v>10650</c:v>
                </c:pt>
                <c:pt idx="78">
                  <c:v>18</c:v>
                </c:pt>
                <c:pt idx="79">
                  <c:v>8317</c:v>
                </c:pt>
                <c:pt idx="80">
                  <c:v>0</c:v>
                </c:pt>
                <c:pt idx="81">
                  <c:v>10458</c:v>
                </c:pt>
                <c:pt idx="82">
                  <c:v>150</c:v>
                </c:pt>
                <c:pt idx="83">
                  <c:v>241</c:v>
                </c:pt>
                <c:pt idx="84">
                  <c:v>41593</c:v>
                </c:pt>
                <c:pt idx="85">
                  <c:v>16</c:v>
                </c:pt>
                <c:pt idx="86">
                  <c:v>1094</c:v>
                </c:pt>
                <c:pt idx="87">
                  <c:v>2089</c:v>
                </c:pt>
                <c:pt idx="88">
                  <c:v>921</c:v>
                </c:pt>
                <c:pt idx="89">
                  <c:v>128</c:v>
                </c:pt>
                <c:pt idx="90">
                  <c:v>41597</c:v>
                </c:pt>
                <c:pt idx="91">
                  <c:v>1588</c:v>
                </c:pt>
                <c:pt idx="92">
                  <c:v>0</c:v>
                </c:pt>
                <c:pt idx="93">
                  <c:v>181</c:v>
                </c:pt>
                <c:pt idx="94">
                  <c:v>137</c:v>
                </c:pt>
                <c:pt idx="95">
                  <c:v>6205</c:v>
                </c:pt>
                <c:pt idx="96">
                  <c:v>248</c:v>
                </c:pt>
                <c:pt idx="97">
                  <c:v>9067</c:v>
                </c:pt>
                <c:pt idx="98">
                  <c:v>293</c:v>
                </c:pt>
                <c:pt idx="99">
                  <c:v>66</c:v>
                </c:pt>
                <c:pt idx="100">
                  <c:v>350</c:v>
                </c:pt>
                <c:pt idx="101">
                  <c:v>331</c:v>
                </c:pt>
                <c:pt idx="102">
                  <c:v>20</c:v>
                </c:pt>
                <c:pt idx="103">
                  <c:v>2969</c:v>
                </c:pt>
                <c:pt idx="104">
                  <c:v>108</c:v>
                </c:pt>
                <c:pt idx="105">
                  <c:v>37</c:v>
                </c:pt>
                <c:pt idx="106">
                  <c:v>175</c:v>
                </c:pt>
                <c:pt idx="107">
                  <c:v>55</c:v>
                </c:pt>
                <c:pt idx="108">
                  <c:v>3</c:v>
                </c:pt>
                <c:pt idx="109">
                  <c:v>609</c:v>
                </c:pt>
                <c:pt idx="110">
                  <c:v>893</c:v>
                </c:pt>
                <c:pt idx="111">
                  <c:v>248</c:v>
                </c:pt>
                <c:pt idx="112">
                  <c:v>1</c:v>
                </c:pt>
                <c:pt idx="113">
                  <c:v>912</c:v>
                </c:pt>
                <c:pt idx="114">
                  <c:v>41596</c:v>
                </c:pt>
                <c:pt idx="115">
                  <c:v>283</c:v>
                </c:pt>
                <c:pt idx="116">
                  <c:v>102</c:v>
                </c:pt>
                <c:pt idx="117">
                  <c:v>493</c:v>
                </c:pt>
                <c:pt idx="118">
                  <c:v>22</c:v>
                </c:pt>
                <c:pt idx="119">
                  <c:v>96</c:v>
                </c:pt>
                <c:pt idx="120">
                  <c:v>97</c:v>
                </c:pt>
                <c:pt idx="121">
                  <c:v>3389</c:v>
                </c:pt>
                <c:pt idx="122">
                  <c:v>28872</c:v>
                </c:pt>
                <c:pt idx="123">
                  <c:v>370</c:v>
                </c:pt>
                <c:pt idx="124">
                  <c:v>0</c:v>
                </c:pt>
                <c:pt idx="125">
                  <c:v>48</c:v>
                </c:pt>
                <c:pt idx="126">
                  <c:v>65</c:v>
                </c:pt>
                <c:pt idx="127">
                  <c:v>196</c:v>
                </c:pt>
                <c:pt idx="128">
                  <c:v>153</c:v>
                </c:pt>
                <c:pt idx="129">
                  <c:v>391</c:v>
                </c:pt>
                <c:pt idx="130">
                  <c:v>154</c:v>
                </c:pt>
                <c:pt idx="131">
                  <c:v>1282</c:v>
                </c:pt>
                <c:pt idx="132">
                  <c:v>189</c:v>
                </c:pt>
                <c:pt idx="133">
                  <c:v>1</c:v>
                </c:pt>
                <c:pt idx="134">
                  <c:v>200</c:v>
                </c:pt>
                <c:pt idx="135">
                  <c:v>16192</c:v>
                </c:pt>
                <c:pt idx="136">
                  <c:v>934</c:v>
                </c:pt>
                <c:pt idx="137">
                  <c:v>7272</c:v>
                </c:pt>
                <c:pt idx="138">
                  <c:v>2757</c:v>
                </c:pt>
                <c:pt idx="139">
                  <c:v>206</c:v>
                </c:pt>
                <c:pt idx="140">
                  <c:v>349</c:v>
                </c:pt>
                <c:pt idx="141">
                  <c:v>1070</c:v>
                </c:pt>
                <c:pt idx="142">
                  <c:v>125</c:v>
                </c:pt>
                <c:pt idx="143">
                  <c:v>429</c:v>
                </c:pt>
                <c:pt idx="144">
                  <c:v>164</c:v>
                </c:pt>
                <c:pt idx="145">
                  <c:v>74</c:v>
                </c:pt>
                <c:pt idx="146">
                  <c:v>862</c:v>
                </c:pt>
                <c:pt idx="147">
                  <c:v>19251</c:v>
                </c:pt>
                <c:pt idx="148">
                  <c:v>51</c:v>
                </c:pt>
                <c:pt idx="149">
                  <c:v>65</c:v>
                </c:pt>
                <c:pt idx="150">
                  <c:v>518</c:v>
                </c:pt>
                <c:pt idx="151">
                  <c:v>7</c:v>
                </c:pt>
                <c:pt idx="152">
                  <c:v>2688</c:v>
                </c:pt>
                <c:pt idx="153">
                  <c:v>10489</c:v>
                </c:pt>
                <c:pt idx="154">
                  <c:v>257</c:v>
                </c:pt>
                <c:pt idx="155">
                  <c:v>105</c:v>
                </c:pt>
                <c:pt idx="156">
                  <c:v>835</c:v>
                </c:pt>
                <c:pt idx="157">
                  <c:v>0</c:v>
                </c:pt>
                <c:pt idx="158">
                  <c:v>493</c:v>
                </c:pt>
                <c:pt idx="159">
                  <c:v>78</c:v>
                </c:pt>
                <c:pt idx="160">
                  <c:v>14199</c:v>
                </c:pt>
                <c:pt idx="161">
                  <c:v>8148</c:v>
                </c:pt>
                <c:pt idx="162">
                  <c:v>108</c:v>
                </c:pt>
                <c:pt idx="163">
                  <c:v>506</c:v>
                </c:pt>
                <c:pt idx="164">
                  <c:v>10528</c:v>
                </c:pt>
                <c:pt idx="165">
                  <c:v>152</c:v>
                </c:pt>
                <c:pt idx="166">
                  <c:v>122</c:v>
                </c:pt>
                <c:pt idx="167">
                  <c:v>13</c:v>
                </c:pt>
                <c:pt idx="168">
                  <c:v>78</c:v>
                </c:pt>
                <c:pt idx="169">
                  <c:v>11405</c:v>
                </c:pt>
                <c:pt idx="170">
                  <c:v>287</c:v>
                </c:pt>
                <c:pt idx="171">
                  <c:v>1859</c:v>
                </c:pt>
                <c:pt idx="172">
                  <c:v>146</c:v>
                </c:pt>
                <c:pt idx="173">
                  <c:v>155</c:v>
                </c:pt>
                <c:pt idx="174">
                  <c:v>6172</c:v>
                </c:pt>
                <c:pt idx="175">
                  <c:v>11220</c:v>
                </c:pt>
                <c:pt idx="176">
                  <c:v>500</c:v>
                </c:pt>
                <c:pt idx="177">
                  <c:v>162</c:v>
                </c:pt>
                <c:pt idx="178">
                  <c:v>1307</c:v>
                </c:pt>
                <c:pt idx="179">
                  <c:v>652</c:v>
                </c:pt>
                <c:pt idx="180">
                  <c:v>2</c:v>
                </c:pt>
                <c:pt idx="181">
                  <c:v>145</c:v>
                </c:pt>
                <c:pt idx="182">
                  <c:v>164</c:v>
                </c:pt>
                <c:pt idx="183">
                  <c:v>5</c:v>
                </c:pt>
                <c:pt idx="184">
                  <c:v>12650</c:v>
                </c:pt>
                <c:pt idx="185">
                  <c:v>284</c:v>
                </c:pt>
                <c:pt idx="186">
                  <c:v>211</c:v>
                </c:pt>
                <c:pt idx="187">
                  <c:v>16716</c:v>
                </c:pt>
                <c:pt idx="188">
                  <c:v>2</c:v>
                </c:pt>
                <c:pt idx="189">
                  <c:v>111</c:v>
                </c:pt>
                <c:pt idx="190">
                  <c:v>113</c:v>
                </c:pt>
                <c:pt idx="191">
                  <c:v>1</c:v>
                </c:pt>
                <c:pt idx="192">
                  <c:v>839</c:v>
                </c:pt>
                <c:pt idx="193">
                  <c:v>6362</c:v>
                </c:pt>
                <c:pt idx="194">
                  <c:v>188</c:v>
                </c:pt>
                <c:pt idx="195">
                  <c:v>20</c:v>
                </c:pt>
                <c:pt idx="196">
                  <c:v>219</c:v>
                </c:pt>
                <c:pt idx="197">
                  <c:v>819</c:v>
                </c:pt>
                <c:pt idx="198">
                  <c:v>196</c:v>
                </c:pt>
                <c:pt idx="199">
                  <c:v>1480</c:v>
                </c:pt>
                <c:pt idx="200">
                  <c:v>591</c:v>
                </c:pt>
                <c:pt idx="201">
                  <c:v>62175</c:v>
                </c:pt>
                <c:pt idx="202">
                  <c:v>90</c:v>
                </c:pt>
                <c:pt idx="203">
                  <c:v>201</c:v>
                </c:pt>
                <c:pt idx="204">
                  <c:v>670</c:v>
                </c:pt>
                <c:pt idx="205">
                  <c:v>209</c:v>
                </c:pt>
                <c:pt idx="206">
                  <c:v>1250</c:v>
                </c:pt>
                <c:pt idx="207">
                  <c:v>2580</c:v>
                </c:pt>
                <c:pt idx="208">
                  <c:v>250</c:v>
                </c:pt>
                <c:pt idx="209">
                  <c:v>1181</c:v>
                </c:pt>
                <c:pt idx="210">
                  <c:v>415</c:v>
                </c:pt>
                <c:pt idx="211">
                  <c:v>32</c:v>
                </c:pt>
                <c:pt idx="212">
                  <c:v>62</c:v>
                </c:pt>
                <c:pt idx="213">
                  <c:v>9472</c:v>
                </c:pt>
                <c:pt idx="214">
                  <c:v>4031</c:v>
                </c:pt>
                <c:pt idx="215">
                  <c:v>2070</c:v>
                </c:pt>
                <c:pt idx="216">
                  <c:v>13888</c:v>
                </c:pt>
                <c:pt idx="217">
                  <c:v>257</c:v>
                </c:pt>
                <c:pt idx="218">
                  <c:v>60</c:v>
                </c:pt>
                <c:pt idx="219">
                  <c:v>150</c:v>
                </c:pt>
                <c:pt idx="220">
                  <c:v>97</c:v>
                </c:pt>
                <c:pt idx="221">
                  <c:v>490</c:v>
                </c:pt>
                <c:pt idx="222">
                  <c:v>13934</c:v>
                </c:pt>
                <c:pt idx="223">
                  <c:v>23</c:v>
                </c:pt>
                <c:pt idx="224">
                  <c:v>159</c:v>
                </c:pt>
                <c:pt idx="225">
                  <c:v>2081</c:v>
                </c:pt>
                <c:pt idx="226">
                  <c:v>192</c:v>
                </c:pt>
                <c:pt idx="227">
                  <c:v>402</c:v>
                </c:pt>
                <c:pt idx="228">
                  <c:v>281</c:v>
                </c:pt>
                <c:pt idx="229">
                  <c:v>580</c:v>
                </c:pt>
                <c:pt idx="230">
                  <c:v>77</c:v>
                </c:pt>
                <c:pt idx="231">
                  <c:v>35</c:v>
                </c:pt>
                <c:pt idx="232">
                  <c:v>0</c:v>
                </c:pt>
                <c:pt idx="233">
                  <c:v>2085</c:v>
                </c:pt>
                <c:pt idx="234">
                  <c:v>2089</c:v>
                </c:pt>
                <c:pt idx="235">
                  <c:v>22918</c:v>
                </c:pt>
                <c:pt idx="236">
                  <c:v>14373</c:v>
                </c:pt>
                <c:pt idx="237">
                  <c:v>2942</c:v>
                </c:pt>
                <c:pt idx="238">
                  <c:v>6203</c:v>
                </c:pt>
                <c:pt idx="239">
                  <c:v>128</c:v>
                </c:pt>
                <c:pt idx="240">
                  <c:v>4935</c:v>
                </c:pt>
                <c:pt idx="241">
                  <c:v>75</c:v>
                </c:pt>
                <c:pt idx="242">
                  <c:v>467</c:v>
                </c:pt>
                <c:pt idx="243">
                  <c:v>83</c:v>
                </c:pt>
                <c:pt idx="244">
                  <c:v>2458</c:v>
                </c:pt>
                <c:pt idx="245">
                  <c:v>952</c:v>
                </c:pt>
                <c:pt idx="246">
                  <c:v>1318</c:v>
                </c:pt>
                <c:pt idx="247">
                  <c:v>3095</c:v>
                </c:pt>
                <c:pt idx="248">
                  <c:v>176</c:v>
                </c:pt>
                <c:pt idx="249">
                  <c:v>971</c:v>
                </c:pt>
                <c:pt idx="250">
                  <c:v>1000</c:v>
                </c:pt>
                <c:pt idx="251">
                  <c:v>129</c:v>
                </c:pt>
                <c:pt idx="252">
                  <c:v>473</c:v>
                </c:pt>
                <c:pt idx="253">
                  <c:v>75000</c:v>
                </c:pt>
                <c:pt idx="254">
                  <c:v>2755</c:v>
                </c:pt>
                <c:pt idx="255">
                  <c:v>84</c:v>
                </c:pt>
                <c:pt idx="256">
                  <c:v>468</c:v>
                </c:pt>
                <c:pt idx="257">
                  <c:v>155</c:v>
                </c:pt>
                <c:pt idx="258">
                  <c:v>42</c:v>
                </c:pt>
                <c:pt idx="259">
                  <c:v>6142</c:v>
                </c:pt>
                <c:pt idx="260">
                  <c:v>69</c:v>
                </c:pt>
                <c:pt idx="261">
                  <c:v>3376</c:v>
                </c:pt>
                <c:pt idx="262">
                  <c:v>118</c:v>
                </c:pt>
                <c:pt idx="263">
                  <c:v>299</c:v>
                </c:pt>
                <c:pt idx="264">
                  <c:v>150</c:v>
                </c:pt>
                <c:pt idx="265">
                  <c:v>59</c:v>
                </c:pt>
                <c:pt idx="266">
                  <c:v>1520</c:v>
                </c:pt>
                <c:pt idx="267">
                  <c:v>137</c:v>
                </c:pt>
                <c:pt idx="268">
                  <c:v>1247</c:v>
                </c:pt>
                <c:pt idx="269">
                  <c:v>183</c:v>
                </c:pt>
                <c:pt idx="270">
                  <c:v>498</c:v>
                </c:pt>
                <c:pt idx="271">
                  <c:v>84</c:v>
                </c:pt>
                <c:pt idx="272">
                  <c:v>1714</c:v>
                </c:pt>
                <c:pt idx="273">
                  <c:v>4103</c:v>
                </c:pt>
                <c:pt idx="274">
                  <c:v>2071</c:v>
                </c:pt>
                <c:pt idx="275">
                  <c:v>7803</c:v>
                </c:pt>
                <c:pt idx="276">
                  <c:v>9080</c:v>
                </c:pt>
                <c:pt idx="277">
                  <c:v>0</c:v>
                </c:pt>
                <c:pt idx="278">
                  <c:v>256</c:v>
                </c:pt>
                <c:pt idx="279">
                  <c:v>509</c:v>
                </c:pt>
                <c:pt idx="280">
                  <c:v>53</c:v>
                </c:pt>
                <c:pt idx="281">
                  <c:v>21</c:v>
                </c:pt>
                <c:pt idx="282">
                  <c:v>398</c:v>
                </c:pt>
                <c:pt idx="283">
                  <c:v>513</c:v>
                </c:pt>
                <c:pt idx="284">
                  <c:v>8631</c:v>
                </c:pt>
                <c:pt idx="285">
                  <c:v>77</c:v>
                </c:pt>
                <c:pt idx="286">
                  <c:v>9158</c:v>
                </c:pt>
                <c:pt idx="287">
                  <c:v>236</c:v>
                </c:pt>
                <c:pt idx="288">
                  <c:v>1121</c:v>
                </c:pt>
                <c:pt idx="289">
                  <c:v>79</c:v>
                </c:pt>
                <c:pt idx="290">
                  <c:v>115</c:v>
                </c:pt>
                <c:pt idx="291">
                  <c:v>222</c:v>
                </c:pt>
                <c:pt idx="292">
                  <c:v>1861</c:v>
                </c:pt>
                <c:pt idx="293">
                  <c:v>494</c:v>
                </c:pt>
                <c:pt idx="294">
                  <c:v>75</c:v>
                </c:pt>
                <c:pt idx="295">
                  <c:v>368</c:v>
                </c:pt>
                <c:pt idx="296">
                  <c:v>7</c:v>
                </c:pt>
                <c:pt idx="297">
                  <c:v>162</c:v>
                </c:pt>
                <c:pt idx="298">
                  <c:v>21744</c:v>
                </c:pt>
                <c:pt idx="299">
                  <c:v>768</c:v>
                </c:pt>
                <c:pt idx="300">
                  <c:v>3</c:v>
                </c:pt>
                <c:pt idx="301">
                  <c:v>68</c:v>
                </c:pt>
                <c:pt idx="302">
                  <c:v>200</c:v>
                </c:pt>
                <c:pt idx="303">
                  <c:v>176</c:v>
                </c:pt>
                <c:pt idx="304">
                  <c:v>3700</c:v>
                </c:pt>
                <c:pt idx="305">
                  <c:v>13</c:v>
                </c:pt>
                <c:pt idx="306">
                  <c:v>2</c:v>
                </c:pt>
                <c:pt idx="307">
                  <c:v>11000</c:v>
                </c:pt>
                <c:pt idx="308">
                  <c:v>416</c:v>
                </c:pt>
                <c:pt idx="309">
                  <c:v>38612</c:v>
                </c:pt>
                <c:pt idx="310">
                  <c:v>2525</c:v>
                </c:pt>
                <c:pt idx="311">
                  <c:v>136</c:v>
                </c:pt>
                <c:pt idx="312">
                  <c:v>141</c:v>
                </c:pt>
                <c:pt idx="313">
                  <c:v>39</c:v>
                </c:pt>
                <c:pt idx="314">
                  <c:v>448</c:v>
                </c:pt>
                <c:pt idx="315">
                  <c:v>674</c:v>
                </c:pt>
                <c:pt idx="316">
                  <c:v>14668</c:v>
                </c:pt>
                <c:pt idx="317">
                  <c:v>151</c:v>
                </c:pt>
                <c:pt idx="318">
                  <c:v>1241</c:v>
                </c:pt>
                <c:pt idx="319">
                  <c:v>200</c:v>
                </c:pt>
                <c:pt idx="320">
                  <c:v>1</c:v>
                </c:pt>
                <c:pt idx="321">
                  <c:v>91</c:v>
                </c:pt>
                <c:pt idx="322">
                  <c:v>2083</c:v>
                </c:pt>
                <c:pt idx="323">
                  <c:v>108</c:v>
                </c:pt>
                <c:pt idx="324">
                  <c:v>1244</c:v>
                </c:pt>
                <c:pt idx="325">
                  <c:v>41595</c:v>
                </c:pt>
                <c:pt idx="326">
                  <c:v>136</c:v>
                </c:pt>
                <c:pt idx="327">
                  <c:v>988</c:v>
                </c:pt>
                <c:pt idx="328">
                  <c:v>1903</c:v>
                </c:pt>
                <c:pt idx="329">
                  <c:v>1306</c:v>
                </c:pt>
                <c:pt idx="330">
                  <c:v>153</c:v>
                </c:pt>
                <c:pt idx="331">
                  <c:v>495</c:v>
                </c:pt>
                <c:pt idx="332">
                  <c:v>149</c:v>
                </c:pt>
                <c:pt idx="333">
                  <c:v>9800</c:v>
                </c:pt>
                <c:pt idx="334">
                  <c:v>21842</c:v>
                </c:pt>
                <c:pt idx="335">
                  <c:v>5031</c:v>
                </c:pt>
                <c:pt idx="336">
                  <c:v>0</c:v>
                </c:pt>
                <c:pt idx="337">
                  <c:v>934</c:v>
                </c:pt>
                <c:pt idx="338">
                  <c:v>698</c:v>
                </c:pt>
                <c:pt idx="339">
                  <c:v>750</c:v>
                </c:pt>
                <c:pt idx="340">
                  <c:v>289</c:v>
                </c:pt>
                <c:pt idx="341">
                  <c:v>111</c:v>
                </c:pt>
                <c:pt idx="342">
                  <c:v>928</c:v>
                </c:pt>
                <c:pt idx="343">
                  <c:v>936</c:v>
                </c:pt>
                <c:pt idx="344">
                  <c:v>150</c:v>
                </c:pt>
                <c:pt idx="345">
                  <c:v>3069</c:v>
                </c:pt>
                <c:pt idx="346">
                  <c:v>65</c:v>
                </c:pt>
                <c:pt idx="347">
                  <c:v>19</c:v>
                </c:pt>
                <c:pt idx="348">
                  <c:v>0</c:v>
                </c:pt>
                <c:pt idx="349">
                  <c:v>152</c:v>
                </c:pt>
                <c:pt idx="350">
                  <c:v>351</c:v>
                </c:pt>
                <c:pt idx="351">
                  <c:v>8314</c:v>
                </c:pt>
                <c:pt idx="352">
                  <c:v>56</c:v>
                </c:pt>
                <c:pt idx="353">
                  <c:v>195</c:v>
                </c:pt>
                <c:pt idx="354">
                  <c:v>725</c:v>
                </c:pt>
                <c:pt idx="355">
                  <c:v>4</c:v>
                </c:pt>
                <c:pt idx="356">
                  <c:v>2126</c:v>
                </c:pt>
                <c:pt idx="357">
                  <c:v>527</c:v>
                </c:pt>
                <c:pt idx="358">
                  <c:v>186</c:v>
                </c:pt>
                <c:pt idx="359">
                  <c:v>5</c:v>
                </c:pt>
                <c:pt idx="360">
                  <c:v>2094</c:v>
                </c:pt>
                <c:pt idx="361">
                  <c:v>6413</c:v>
                </c:pt>
                <c:pt idx="362">
                  <c:v>570</c:v>
                </c:pt>
                <c:pt idx="363">
                  <c:v>154</c:v>
                </c:pt>
                <c:pt idx="364">
                  <c:v>8323</c:v>
                </c:pt>
                <c:pt idx="365">
                  <c:v>284</c:v>
                </c:pt>
                <c:pt idx="366">
                  <c:v>496</c:v>
                </c:pt>
                <c:pt idx="367">
                  <c:v>10213</c:v>
                </c:pt>
                <c:pt idx="368">
                  <c:v>130</c:v>
                </c:pt>
                <c:pt idx="369">
                  <c:v>6167</c:v>
                </c:pt>
                <c:pt idx="370">
                  <c:v>332</c:v>
                </c:pt>
                <c:pt idx="371">
                  <c:v>10881</c:v>
                </c:pt>
                <c:pt idx="372">
                  <c:v>4</c:v>
                </c:pt>
                <c:pt idx="373">
                  <c:v>6139</c:v>
                </c:pt>
                <c:pt idx="374">
                  <c:v>36</c:v>
                </c:pt>
                <c:pt idx="375">
                  <c:v>878</c:v>
                </c:pt>
                <c:pt idx="376">
                  <c:v>33</c:v>
                </c:pt>
                <c:pt idx="377">
                  <c:v>159</c:v>
                </c:pt>
                <c:pt idx="378">
                  <c:v>7625</c:v>
                </c:pt>
                <c:pt idx="379">
                  <c:v>17</c:v>
                </c:pt>
                <c:pt idx="380">
                  <c:v>2696</c:v>
                </c:pt>
                <c:pt idx="381">
                  <c:v>521</c:v>
                </c:pt>
                <c:pt idx="382">
                  <c:v>63</c:v>
                </c:pt>
                <c:pt idx="383">
                  <c:v>3475</c:v>
                </c:pt>
                <c:pt idx="384">
                  <c:v>6201</c:v>
                </c:pt>
                <c:pt idx="385">
                  <c:v>147</c:v>
                </c:pt>
                <c:pt idx="386">
                  <c:v>665</c:v>
                </c:pt>
                <c:pt idx="387">
                  <c:v>382</c:v>
                </c:pt>
                <c:pt idx="388">
                  <c:v>102</c:v>
                </c:pt>
                <c:pt idx="389">
                  <c:v>280</c:v>
                </c:pt>
                <c:pt idx="390">
                  <c:v>946</c:v>
                </c:pt>
                <c:pt idx="391">
                  <c:v>67</c:v>
                </c:pt>
                <c:pt idx="392">
                  <c:v>240</c:v>
                </c:pt>
                <c:pt idx="393">
                  <c:v>9112</c:v>
                </c:pt>
                <c:pt idx="394">
                  <c:v>55</c:v>
                </c:pt>
                <c:pt idx="395">
                  <c:v>205</c:v>
                </c:pt>
                <c:pt idx="396">
                  <c:v>155</c:v>
                </c:pt>
                <c:pt idx="397">
                  <c:v>832</c:v>
                </c:pt>
                <c:pt idx="398">
                  <c:v>200</c:v>
                </c:pt>
                <c:pt idx="399">
                  <c:v>484</c:v>
                </c:pt>
                <c:pt idx="400">
                  <c:v>511</c:v>
                </c:pt>
                <c:pt idx="401">
                  <c:v>6117</c:v>
                </c:pt>
                <c:pt idx="402">
                  <c:v>4457</c:v>
                </c:pt>
                <c:pt idx="403">
                  <c:v>1844</c:v>
                </c:pt>
                <c:pt idx="404">
                  <c:v>12935</c:v>
                </c:pt>
                <c:pt idx="405">
                  <c:v>2688</c:v>
                </c:pt>
                <c:pt idx="406">
                  <c:v>65</c:v>
                </c:pt>
                <c:pt idx="407">
                  <c:v>934</c:v>
                </c:pt>
                <c:pt idx="408">
                  <c:v>2054</c:v>
                </c:pt>
                <c:pt idx="409">
                  <c:v>2113</c:v>
                </c:pt>
                <c:pt idx="410">
                  <c:v>36</c:v>
                </c:pt>
                <c:pt idx="411">
                  <c:v>4662</c:v>
                </c:pt>
                <c:pt idx="412">
                  <c:v>68</c:v>
                </c:pt>
                <c:pt idx="413">
                  <c:v>9220</c:v>
                </c:pt>
                <c:pt idx="414">
                  <c:v>441</c:v>
                </c:pt>
                <c:pt idx="415">
                  <c:v>3757</c:v>
                </c:pt>
                <c:pt idx="416">
                  <c:v>287</c:v>
                </c:pt>
                <c:pt idx="417">
                  <c:v>29</c:v>
                </c:pt>
                <c:pt idx="418">
                  <c:v>928</c:v>
                </c:pt>
                <c:pt idx="419">
                  <c:v>3990</c:v>
                </c:pt>
                <c:pt idx="420">
                  <c:v>104</c:v>
                </c:pt>
                <c:pt idx="421">
                  <c:v>3</c:v>
                </c:pt>
                <c:pt idx="422">
                  <c:v>4750</c:v>
                </c:pt>
                <c:pt idx="423">
                  <c:v>41593</c:v>
                </c:pt>
                <c:pt idx="424">
                  <c:v>198</c:v>
                </c:pt>
                <c:pt idx="425">
                  <c:v>159</c:v>
                </c:pt>
                <c:pt idx="426">
                  <c:v>935</c:v>
                </c:pt>
                <c:pt idx="427">
                  <c:v>54</c:v>
                </c:pt>
                <c:pt idx="428">
                  <c:v>41</c:v>
                </c:pt>
                <c:pt idx="429">
                  <c:v>365</c:v>
                </c:pt>
                <c:pt idx="430">
                  <c:v>17624</c:v>
                </c:pt>
                <c:pt idx="431">
                  <c:v>7223</c:v>
                </c:pt>
                <c:pt idx="432">
                  <c:v>23</c:v>
                </c:pt>
                <c:pt idx="433">
                  <c:v>215</c:v>
                </c:pt>
                <c:pt idx="434">
                  <c:v>187</c:v>
                </c:pt>
                <c:pt idx="435">
                  <c:v>146</c:v>
                </c:pt>
                <c:pt idx="436">
                  <c:v>126</c:v>
                </c:pt>
                <c:pt idx="437">
                  <c:v>16248</c:v>
                </c:pt>
                <c:pt idx="438">
                  <c:v>300</c:v>
                </c:pt>
                <c:pt idx="439">
                  <c:v>0</c:v>
                </c:pt>
                <c:pt idx="440">
                  <c:v>288</c:v>
                </c:pt>
                <c:pt idx="441">
                  <c:v>158</c:v>
                </c:pt>
                <c:pt idx="442">
                  <c:v>931</c:v>
                </c:pt>
                <c:pt idx="443">
                  <c:v>124</c:v>
                </c:pt>
                <c:pt idx="444">
                  <c:v>75</c:v>
                </c:pt>
                <c:pt idx="445">
                  <c:v>6</c:v>
                </c:pt>
                <c:pt idx="446">
                  <c:v>1000</c:v>
                </c:pt>
                <c:pt idx="447">
                  <c:v>6000</c:v>
                </c:pt>
                <c:pt idx="448">
                  <c:v>1647</c:v>
                </c:pt>
                <c:pt idx="449">
                  <c:v>77</c:v>
                </c:pt>
                <c:pt idx="450">
                  <c:v>363</c:v>
                </c:pt>
                <c:pt idx="451">
                  <c:v>203</c:v>
                </c:pt>
                <c:pt idx="452">
                  <c:v>287</c:v>
                </c:pt>
                <c:pt idx="453">
                  <c:v>23</c:v>
                </c:pt>
                <c:pt idx="454">
                  <c:v>326</c:v>
                </c:pt>
                <c:pt idx="455">
                  <c:v>489</c:v>
                </c:pt>
                <c:pt idx="456">
                  <c:v>10602</c:v>
                </c:pt>
                <c:pt idx="457">
                  <c:v>503</c:v>
                </c:pt>
                <c:pt idx="458">
                  <c:v>8270</c:v>
                </c:pt>
                <c:pt idx="459">
                  <c:v>219</c:v>
                </c:pt>
                <c:pt idx="460">
                  <c:v>2428</c:v>
                </c:pt>
                <c:pt idx="461">
                  <c:v>0</c:v>
                </c:pt>
                <c:pt idx="462">
                  <c:v>2518</c:v>
                </c:pt>
                <c:pt idx="463">
                  <c:v>1590</c:v>
                </c:pt>
                <c:pt idx="464">
                  <c:v>6226</c:v>
                </c:pt>
                <c:pt idx="465">
                  <c:v>146</c:v>
                </c:pt>
                <c:pt idx="466">
                  <c:v>1814</c:v>
                </c:pt>
                <c:pt idx="467">
                  <c:v>2</c:v>
                </c:pt>
                <c:pt idx="468">
                  <c:v>3305</c:v>
                </c:pt>
                <c:pt idx="469">
                  <c:v>4</c:v>
                </c:pt>
                <c:pt idx="470">
                  <c:v>267</c:v>
                </c:pt>
                <c:pt idx="471">
                  <c:v>1659</c:v>
                </c:pt>
                <c:pt idx="472">
                  <c:v>48458</c:v>
                </c:pt>
                <c:pt idx="473">
                  <c:v>33</c:v>
                </c:pt>
                <c:pt idx="474">
                  <c:v>109</c:v>
                </c:pt>
                <c:pt idx="475">
                  <c:v>508</c:v>
                </c:pt>
                <c:pt idx="476">
                  <c:v>79</c:v>
                </c:pt>
                <c:pt idx="477">
                  <c:v>88</c:v>
                </c:pt>
                <c:pt idx="478">
                  <c:v>48487</c:v>
                </c:pt>
                <c:pt idx="479">
                  <c:v>11000</c:v>
                </c:pt>
                <c:pt idx="480">
                  <c:v>15</c:v>
                </c:pt>
                <c:pt idx="481">
                  <c:v>139</c:v>
                </c:pt>
                <c:pt idx="482">
                  <c:v>1</c:v>
                </c:pt>
                <c:pt idx="483">
                  <c:v>242</c:v>
                </c:pt>
                <c:pt idx="484">
                  <c:v>609</c:v>
                </c:pt>
                <c:pt idx="485">
                  <c:v>241</c:v>
                </c:pt>
                <c:pt idx="486">
                  <c:v>24443</c:v>
                </c:pt>
                <c:pt idx="487">
                  <c:v>83</c:v>
                </c:pt>
                <c:pt idx="488">
                  <c:v>41594</c:v>
                </c:pt>
                <c:pt idx="489">
                  <c:v>9441</c:v>
                </c:pt>
                <c:pt idx="490">
                  <c:v>503</c:v>
                </c:pt>
                <c:pt idx="491">
                  <c:v>481</c:v>
                </c:pt>
                <c:pt idx="492">
                  <c:v>464</c:v>
                </c:pt>
                <c:pt idx="493">
                  <c:v>4870</c:v>
                </c:pt>
                <c:pt idx="494">
                  <c:v>9575</c:v>
                </c:pt>
                <c:pt idx="495">
                  <c:v>3703</c:v>
                </c:pt>
                <c:pt idx="496">
                  <c:v>7255</c:v>
                </c:pt>
                <c:pt idx="497">
                  <c:v>50</c:v>
                </c:pt>
                <c:pt idx="498">
                  <c:v>580</c:v>
                </c:pt>
                <c:pt idx="499">
                  <c:v>795</c:v>
                </c:pt>
                <c:pt idx="500">
                  <c:v>322</c:v>
                </c:pt>
                <c:pt idx="501">
                  <c:v>138</c:v>
                </c:pt>
                <c:pt idx="502">
                  <c:v>44</c:v>
                </c:pt>
                <c:pt idx="503">
                  <c:v>97</c:v>
                </c:pt>
                <c:pt idx="504">
                  <c:v>4604</c:v>
                </c:pt>
                <c:pt idx="505">
                  <c:v>11716</c:v>
                </c:pt>
                <c:pt idx="506">
                  <c:v>6</c:v>
                </c:pt>
                <c:pt idx="507">
                  <c:v>149</c:v>
                </c:pt>
                <c:pt idx="508">
                  <c:v>505</c:v>
                </c:pt>
                <c:pt idx="509">
                  <c:v>5153</c:v>
                </c:pt>
                <c:pt idx="510">
                  <c:v>55</c:v>
                </c:pt>
                <c:pt idx="511">
                  <c:v>64</c:v>
                </c:pt>
                <c:pt idx="512">
                  <c:v>14</c:v>
                </c:pt>
                <c:pt idx="513">
                  <c:v>1675</c:v>
                </c:pt>
                <c:pt idx="514">
                  <c:v>292</c:v>
                </c:pt>
                <c:pt idx="515">
                  <c:v>129</c:v>
                </c:pt>
                <c:pt idx="516">
                  <c:v>42</c:v>
                </c:pt>
                <c:pt idx="517">
                  <c:v>100</c:v>
                </c:pt>
                <c:pt idx="518">
                  <c:v>203</c:v>
                </c:pt>
                <c:pt idx="519">
                  <c:v>250</c:v>
                </c:pt>
                <c:pt idx="520">
                  <c:v>32</c:v>
                </c:pt>
                <c:pt idx="521">
                  <c:v>5</c:v>
                </c:pt>
                <c:pt idx="522">
                  <c:v>6238</c:v>
                </c:pt>
                <c:pt idx="523">
                  <c:v>1441</c:v>
                </c:pt>
                <c:pt idx="524">
                  <c:v>4892</c:v>
                </c:pt>
                <c:pt idx="525">
                  <c:v>457</c:v>
                </c:pt>
                <c:pt idx="526">
                  <c:v>120</c:v>
                </c:pt>
                <c:pt idx="527">
                  <c:v>5000</c:v>
                </c:pt>
                <c:pt idx="528">
                  <c:v>782</c:v>
                </c:pt>
                <c:pt idx="529">
                  <c:v>87</c:v>
                </c:pt>
                <c:pt idx="530">
                  <c:v>1346</c:v>
                </c:pt>
                <c:pt idx="531">
                  <c:v>32</c:v>
                </c:pt>
                <c:pt idx="532">
                  <c:v>500</c:v>
                </c:pt>
                <c:pt idx="533">
                  <c:v>592</c:v>
                </c:pt>
                <c:pt idx="534">
                  <c:v>1754</c:v>
                </c:pt>
                <c:pt idx="535">
                  <c:v>325</c:v>
                </c:pt>
                <c:pt idx="536">
                  <c:v>150</c:v>
                </c:pt>
                <c:pt idx="537">
                  <c:v>6242</c:v>
                </c:pt>
                <c:pt idx="538">
                  <c:v>117</c:v>
                </c:pt>
                <c:pt idx="539">
                  <c:v>20</c:v>
                </c:pt>
                <c:pt idx="540">
                  <c:v>32</c:v>
                </c:pt>
                <c:pt idx="541">
                  <c:v>17459</c:v>
                </c:pt>
                <c:pt idx="542">
                  <c:v>0</c:v>
                </c:pt>
                <c:pt idx="543">
                  <c:v>607</c:v>
                </c:pt>
                <c:pt idx="544">
                  <c:v>55</c:v>
                </c:pt>
                <c:pt idx="545">
                  <c:v>544</c:v>
                </c:pt>
                <c:pt idx="546">
                  <c:v>51</c:v>
                </c:pt>
                <c:pt idx="547">
                  <c:v>4844</c:v>
                </c:pt>
                <c:pt idx="548">
                  <c:v>6130</c:v>
                </c:pt>
                <c:pt idx="549">
                  <c:v>30</c:v>
                </c:pt>
                <c:pt idx="550">
                  <c:v>6208</c:v>
                </c:pt>
                <c:pt idx="551">
                  <c:v>3656</c:v>
                </c:pt>
                <c:pt idx="552">
                  <c:v>983</c:v>
                </c:pt>
                <c:pt idx="553">
                  <c:v>515</c:v>
                </c:pt>
                <c:pt idx="554">
                  <c:v>300</c:v>
                </c:pt>
                <c:pt idx="555">
                  <c:v>48</c:v>
                </c:pt>
                <c:pt idx="556">
                  <c:v>3292</c:v>
                </c:pt>
                <c:pt idx="557">
                  <c:v>2137</c:v>
                </c:pt>
                <c:pt idx="558">
                  <c:v>1247</c:v>
                </c:pt>
                <c:pt idx="559">
                  <c:v>12766</c:v>
                </c:pt>
              </c:numCache>
            </c:numRef>
          </c:xVal>
          <c:yVal>
            <c:numRef>
              <c:f>'PoliticalAds 2020'!$C$2:$C$1048155</c:f>
              <c:numCache>
                <c:formatCode>General</c:formatCode>
                <c:ptCount val="1048154"/>
                <c:pt idx="0">
                  <c:v>260</c:v>
                </c:pt>
                <c:pt idx="1">
                  <c:v>4081449</c:v>
                </c:pt>
                <c:pt idx="2">
                  <c:v>729</c:v>
                </c:pt>
                <c:pt idx="3">
                  <c:v>806803</c:v>
                </c:pt>
                <c:pt idx="4">
                  <c:v>5434641</c:v>
                </c:pt>
                <c:pt idx="5">
                  <c:v>3282275</c:v>
                </c:pt>
                <c:pt idx="6">
                  <c:v>156211</c:v>
                </c:pt>
                <c:pt idx="7">
                  <c:v>70295</c:v>
                </c:pt>
                <c:pt idx="8">
                  <c:v>38957</c:v>
                </c:pt>
                <c:pt idx="9">
                  <c:v>131249</c:v>
                </c:pt>
                <c:pt idx="10">
                  <c:v>56539</c:v>
                </c:pt>
                <c:pt idx="11">
                  <c:v>76037</c:v>
                </c:pt>
                <c:pt idx="12">
                  <c:v>30507</c:v>
                </c:pt>
                <c:pt idx="13">
                  <c:v>201877</c:v>
                </c:pt>
                <c:pt idx="14">
                  <c:v>9831</c:v>
                </c:pt>
                <c:pt idx="15">
                  <c:v>809</c:v>
                </c:pt>
                <c:pt idx="16">
                  <c:v>1101225</c:v>
                </c:pt>
                <c:pt idx="17">
                  <c:v>97593</c:v>
                </c:pt>
                <c:pt idx="18">
                  <c:v>157166</c:v>
                </c:pt>
                <c:pt idx="19">
                  <c:v>5329960</c:v>
                </c:pt>
                <c:pt idx="20">
                  <c:v>133558</c:v>
                </c:pt>
                <c:pt idx="21">
                  <c:v>155378</c:v>
                </c:pt>
                <c:pt idx="22">
                  <c:v>79850</c:v>
                </c:pt>
                <c:pt idx="23">
                  <c:v>1296931</c:v>
                </c:pt>
                <c:pt idx="24">
                  <c:v>643397</c:v>
                </c:pt>
                <c:pt idx="25">
                  <c:v>171467</c:v>
                </c:pt>
                <c:pt idx="26">
                  <c:v>106031</c:v>
                </c:pt>
                <c:pt idx="27">
                  <c:v>89547</c:v>
                </c:pt>
                <c:pt idx="28">
                  <c:v>5283</c:v>
                </c:pt>
                <c:pt idx="29">
                  <c:v>354</c:v>
                </c:pt>
                <c:pt idx="30">
                  <c:v>281284</c:v>
                </c:pt>
                <c:pt idx="31">
                  <c:v>246311</c:v>
                </c:pt>
                <c:pt idx="32">
                  <c:v>650180</c:v>
                </c:pt>
                <c:pt idx="33">
                  <c:v>13262</c:v>
                </c:pt>
                <c:pt idx="34">
                  <c:v>1025953</c:v>
                </c:pt>
                <c:pt idx="35">
                  <c:v>1647552</c:v>
                </c:pt>
                <c:pt idx="36">
                  <c:v>460</c:v>
                </c:pt>
                <c:pt idx="37">
                  <c:v>11018</c:v>
                </c:pt>
                <c:pt idx="38">
                  <c:v>1649468</c:v>
                </c:pt>
                <c:pt idx="39">
                  <c:v>1531835</c:v>
                </c:pt>
                <c:pt idx="40">
                  <c:v>161470</c:v>
                </c:pt>
                <c:pt idx="41">
                  <c:v>220837</c:v>
                </c:pt>
                <c:pt idx="42">
                  <c:v>2419734</c:v>
                </c:pt>
                <c:pt idx="43">
                  <c:v>13346</c:v>
                </c:pt>
                <c:pt idx="44">
                  <c:v>649741</c:v>
                </c:pt>
                <c:pt idx="45">
                  <c:v>87263</c:v>
                </c:pt>
                <c:pt idx="46">
                  <c:v>22156</c:v>
                </c:pt>
                <c:pt idx="47">
                  <c:v>18408</c:v>
                </c:pt>
                <c:pt idx="48">
                  <c:v>14441</c:v>
                </c:pt>
                <c:pt idx="49">
                  <c:v>144311</c:v>
                </c:pt>
                <c:pt idx="50">
                  <c:v>17360</c:v>
                </c:pt>
                <c:pt idx="51">
                  <c:v>300469</c:v>
                </c:pt>
                <c:pt idx="52">
                  <c:v>227745</c:v>
                </c:pt>
                <c:pt idx="53">
                  <c:v>248703</c:v>
                </c:pt>
                <c:pt idx="54">
                  <c:v>102995</c:v>
                </c:pt>
                <c:pt idx="55">
                  <c:v>2312929</c:v>
                </c:pt>
                <c:pt idx="56">
                  <c:v>9549</c:v>
                </c:pt>
                <c:pt idx="57">
                  <c:v>47747</c:v>
                </c:pt>
                <c:pt idx="58">
                  <c:v>98222</c:v>
                </c:pt>
                <c:pt idx="59">
                  <c:v>1121298</c:v>
                </c:pt>
                <c:pt idx="60">
                  <c:v>1190775</c:v>
                </c:pt>
                <c:pt idx="61">
                  <c:v>2505812</c:v>
                </c:pt>
                <c:pt idx="62">
                  <c:v>3366238</c:v>
                </c:pt>
                <c:pt idx="63">
                  <c:v>124783</c:v>
                </c:pt>
                <c:pt idx="64">
                  <c:v>792413</c:v>
                </c:pt>
                <c:pt idx="65">
                  <c:v>49759</c:v>
                </c:pt>
                <c:pt idx="66">
                  <c:v>55170</c:v>
                </c:pt>
                <c:pt idx="67">
                  <c:v>32941809</c:v>
                </c:pt>
                <c:pt idx="68">
                  <c:v>548582</c:v>
                </c:pt>
                <c:pt idx="69">
                  <c:v>221400</c:v>
                </c:pt>
                <c:pt idx="70">
                  <c:v>1645255</c:v>
                </c:pt>
                <c:pt idx="71">
                  <c:v>3160</c:v>
                </c:pt>
                <c:pt idx="72">
                  <c:v>5728</c:v>
                </c:pt>
                <c:pt idx="73">
                  <c:v>216640</c:v>
                </c:pt>
                <c:pt idx="74">
                  <c:v>10716</c:v>
                </c:pt>
                <c:pt idx="75">
                  <c:v>51171</c:v>
                </c:pt>
                <c:pt idx="76">
                  <c:v>41834</c:v>
                </c:pt>
                <c:pt idx="77">
                  <c:v>5175160</c:v>
                </c:pt>
                <c:pt idx="78">
                  <c:v>4760</c:v>
                </c:pt>
                <c:pt idx="79">
                  <c:v>4540561</c:v>
                </c:pt>
                <c:pt idx="80">
                  <c:v>69</c:v>
                </c:pt>
                <c:pt idx="81">
                  <c:v>5082340</c:v>
                </c:pt>
                <c:pt idx="82">
                  <c:v>59551</c:v>
                </c:pt>
                <c:pt idx="83">
                  <c:v>82903</c:v>
                </c:pt>
                <c:pt idx="84">
                  <c:v>38143192</c:v>
                </c:pt>
                <c:pt idx="85">
                  <c:v>4320</c:v>
                </c:pt>
                <c:pt idx="86">
                  <c:v>133343</c:v>
                </c:pt>
                <c:pt idx="87">
                  <c:v>784901</c:v>
                </c:pt>
                <c:pt idx="88">
                  <c:v>599726</c:v>
                </c:pt>
                <c:pt idx="89">
                  <c:v>54778</c:v>
                </c:pt>
                <c:pt idx="90">
                  <c:v>4358396</c:v>
                </c:pt>
                <c:pt idx="91">
                  <c:v>675371</c:v>
                </c:pt>
                <c:pt idx="92">
                  <c:v>4</c:v>
                </c:pt>
                <c:pt idx="93">
                  <c:v>99517</c:v>
                </c:pt>
                <c:pt idx="94">
                  <c:v>18776</c:v>
                </c:pt>
                <c:pt idx="95">
                  <c:v>650317</c:v>
                </c:pt>
                <c:pt idx="96">
                  <c:v>197575</c:v>
                </c:pt>
                <c:pt idx="97">
                  <c:v>950949</c:v>
                </c:pt>
                <c:pt idx="98">
                  <c:v>133320</c:v>
                </c:pt>
                <c:pt idx="99">
                  <c:v>11927</c:v>
                </c:pt>
                <c:pt idx="100">
                  <c:v>763826</c:v>
                </c:pt>
                <c:pt idx="101">
                  <c:v>37645</c:v>
                </c:pt>
                <c:pt idx="102">
                  <c:v>27079</c:v>
                </c:pt>
                <c:pt idx="103">
                  <c:v>1175396</c:v>
                </c:pt>
                <c:pt idx="104">
                  <c:v>79247</c:v>
                </c:pt>
                <c:pt idx="105">
                  <c:v>9752</c:v>
                </c:pt>
                <c:pt idx="106">
                  <c:v>277893</c:v>
                </c:pt>
                <c:pt idx="107">
                  <c:v>32417</c:v>
                </c:pt>
                <c:pt idx="108">
                  <c:v>1816</c:v>
                </c:pt>
                <c:pt idx="109">
                  <c:v>398439</c:v>
                </c:pt>
                <c:pt idx="110">
                  <c:v>685838</c:v>
                </c:pt>
                <c:pt idx="111">
                  <c:v>77358</c:v>
                </c:pt>
                <c:pt idx="112">
                  <c:v>284</c:v>
                </c:pt>
                <c:pt idx="113">
                  <c:v>589126</c:v>
                </c:pt>
                <c:pt idx="114">
                  <c:v>4356040</c:v>
                </c:pt>
                <c:pt idx="115">
                  <c:v>93216</c:v>
                </c:pt>
                <c:pt idx="116">
                  <c:v>103517</c:v>
                </c:pt>
                <c:pt idx="117">
                  <c:v>184435</c:v>
                </c:pt>
                <c:pt idx="118">
                  <c:v>6736</c:v>
                </c:pt>
                <c:pt idx="119">
                  <c:v>70759</c:v>
                </c:pt>
                <c:pt idx="120">
                  <c:v>75188</c:v>
                </c:pt>
                <c:pt idx="121">
                  <c:v>2308621</c:v>
                </c:pt>
                <c:pt idx="122">
                  <c:v>2967735</c:v>
                </c:pt>
                <c:pt idx="123">
                  <c:v>221329</c:v>
                </c:pt>
                <c:pt idx="124">
                  <c:v>1</c:v>
                </c:pt>
                <c:pt idx="125">
                  <c:v>29578</c:v>
                </c:pt>
                <c:pt idx="126">
                  <c:v>66940</c:v>
                </c:pt>
                <c:pt idx="127">
                  <c:v>108352</c:v>
                </c:pt>
                <c:pt idx="128">
                  <c:v>67298</c:v>
                </c:pt>
                <c:pt idx="129">
                  <c:v>205568</c:v>
                </c:pt>
                <c:pt idx="130">
                  <c:v>27521</c:v>
                </c:pt>
                <c:pt idx="131">
                  <c:v>1185651</c:v>
                </c:pt>
                <c:pt idx="132">
                  <c:v>165080</c:v>
                </c:pt>
                <c:pt idx="133">
                  <c:v>332</c:v>
                </c:pt>
                <c:pt idx="134">
                  <c:v>80659</c:v>
                </c:pt>
                <c:pt idx="135">
                  <c:v>1681141</c:v>
                </c:pt>
                <c:pt idx="136">
                  <c:v>465849</c:v>
                </c:pt>
                <c:pt idx="137">
                  <c:v>6896574</c:v>
                </c:pt>
                <c:pt idx="138">
                  <c:v>2276323</c:v>
                </c:pt>
                <c:pt idx="139">
                  <c:v>90317</c:v>
                </c:pt>
                <c:pt idx="140">
                  <c:v>177297</c:v>
                </c:pt>
                <c:pt idx="141">
                  <c:v>508517</c:v>
                </c:pt>
                <c:pt idx="142">
                  <c:v>67144</c:v>
                </c:pt>
                <c:pt idx="143">
                  <c:v>165984</c:v>
                </c:pt>
                <c:pt idx="144">
                  <c:v>96409</c:v>
                </c:pt>
                <c:pt idx="145">
                  <c:v>21299</c:v>
                </c:pt>
                <c:pt idx="146">
                  <c:v>552907</c:v>
                </c:pt>
                <c:pt idx="147">
                  <c:v>1976054</c:v>
                </c:pt>
                <c:pt idx="148">
                  <c:v>4865</c:v>
                </c:pt>
                <c:pt idx="149">
                  <c:v>6608</c:v>
                </c:pt>
                <c:pt idx="150">
                  <c:v>132303</c:v>
                </c:pt>
                <c:pt idx="151">
                  <c:v>2069</c:v>
                </c:pt>
                <c:pt idx="152">
                  <c:v>2351742</c:v>
                </c:pt>
                <c:pt idx="153">
                  <c:v>5097032</c:v>
                </c:pt>
                <c:pt idx="154">
                  <c:v>130516</c:v>
                </c:pt>
                <c:pt idx="155">
                  <c:v>53610</c:v>
                </c:pt>
                <c:pt idx="156">
                  <c:v>776930</c:v>
                </c:pt>
                <c:pt idx="157">
                  <c:v>11</c:v>
                </c:pt>
                <c:pt idx="158">
                  <c:v>227452</c:v>
                </c:pt>
                <c:pt idx="159">
                  <c:v>46339</c:v>
                </c:pt>
                <c:pt idx="160">
                  <c:v>6628695</c:v>
                </c:pt>
                <c:pt idx="161">
                  <c:v>3394400</c:v>
                </c:pt>
                <c:pt idx="162">
                  <c:v>54290</c:v>
                </c:pt>
                <c:pt idx="163">
                  <c:v>209772</c:v>
                </c:pt>
                <c:pt idx="164">
                  <c:v>5115931</c:v>
                </c:pt>
                <c:pt idx="165">
                  <c:v>39576</c:v>
                </c:pt>
                <c:pt idx="166">
                  <c:v>75880</c:v>
                </c:pt>
                <c:pt idx="167">
                  <c:v>3465</c:v>
                </c:pt>
                <c:pt idx="168">
                  <c:v>43702</c:v>
                </c:pt>
                <c:pt idx="169">
                  <c:v>1174983</c:v>
                </c:pt>
                <c:pt idx="170">
                  <c:v>143518</c:v>
                </c:pt>
                <c:pt idx="171">
                  <c:v>1577071</c:v>
                </c:pt>
                <c:pt idx="172">
                  <c:v>69601</c:v>
                </c:pt>
                <c:pt idx="173">
                  <c:v>15927</c:v>
                </c:pt>
                <c:pt idx="174">
                  <c:v>646971</c:v>
                </c:pt>
                <c:pt idx="175">
                  <c:v>1154903</c:v>
                </c:pt>
                <c:pt idx="176">
                  <c:v>320696</c:v>
                </c:pt>
                <c:pt idx="177">
                  <c:v>37706</c:v>
                </c:pt>
                <c:pt idx="178">
                  <c:v>563175</c:v>
                </c:pt>
                <c:pt idx="179">
                  <c:v>578774</c:v>
                </c:pt>
                <c:pt idx="180">
                  <c:v>19726</c:v>
                </c:pt>
                <c:pt idx="181">
                  <c:v>69172</c:v>
                </c:pt>
                <c:pt idx="182">
                  <c:v>114994</c:v>
                </c:pt>
                <c:pt idx="183">
                  <c:v>2538</c:v>
                </c:pt>
                <c:pt idx="184">
                  <c:v>5901671</c:v>
                </c:pt>
                <c:pt idx="185">
                  <c:v>121994</c:v>
                </c:pt>
                <c:pt idx="186">
                  <c:v>92116</c:v>
                </c:pt>
                <c:pt idx="187">
                  <c:v>1734889</c:v>
                </c:pt>
                <c:pt idx="188">
                  <c:v>636</c:v>
                </c:pt>
                <c:pt idx="189">
                  <c:v>55751</c:v>
                </c:pt>
                <c:pt idx="190">
                  <c:v>88643</c:v>
                </c:pt>
                <c:pt idx="191">
                  <c:v>280</c:v>
                </c:pt>
                <c:pt idx="192">
                  <c:v>388109</c:v>
                </c:pt>
                <c:pt idx="193">
                  <c:v>4342495</c:v>
                </c:pt>
                <c:pt idx="194">
                  <c:v>110023</c:v>
                </c:pt>
                <c:pt idx="195">
                  <c:v>10444</c:v>
                </c:pt>
                <c:pt idx="196">
                  <c:v>153997</c:v>
                </c:pt>
                <c:pt idx="197">
                  <c:v>744960</c:v>
                </c:pt>
                <c:pt idx="198">
                  <c:v>85769</c:v>
                </c:pt>
                <c:pt idx="199">
                  <c:v>1414417</c:v>
                </c:pt>
                <c:pt idx="200">
                  <c:v>217887</c:v>
                </c:pt>
                <c:pt idx="201">
                  <c:v>6087352</c:v>
                </c:pt>
                <c:pt idx="202">
                  <c:v>41151</c:v>
                </c:pt>
                <c:pt idx="203">
                  <c:v>146456</c:v>
                </c:pt>
                <c:pt idx="204">
                  <c:v>369006</c:v>
                </c:pt>
                <c:pt idx="205">
                  <c:v>162407</c:v>
                </c:pt>
                <c:pt idx="206">
                  <c:v>512483</c:v>
                </c:pt>
                <c:pt idx="207">
                  <c:v>907794</c:v>
                </c:pt>
                <c:pt idx="208">
                  <c:v>101489</c:v>
                </c:pt>
                <c:pt idx="209">
                  <c:v>153514</c:v>
                </c:pt>
                <c:pt idx="210">
                  <c:v>221127</c:v>
                </c:pt>
                <c:pt idx="211">
                  <c:v>19589</c:v>
                </c:pt>
                <c:pt idx="212">
                  <c:v>4925</c:v>
                </c:pt>
                <c:pt idx="213">
                  <c:v>4532245</c:v>
                </c:pt>
                <c:pt idx="214">
                  <c:v>3264610</c:v>
                </c:pt>
                <c:pt idx="215">
                  <c:v>957067</c:v>
                </c:pt>
                <c:pt idx="216">
                  <c:v>10533180</c:v>
                </c:pt>
                <c:pt idx="217">
                  <c:v>185665</c:v>
                </c:pt>
                <c:pt idx="218">
                  <c:v>15707</c:v>
                </c:pt>
                <c:pt idx="219">
                  <c:v>39060</c:v>
                </c:pt>
                <c:pt idx="220">
                  <c:v>41537</c:v>
                </c:pt>
                <c:pt idx="221">
                  <c:v>182138</c:v>
                </c:pt>
                <c:pt idx="222">
                  <c:v>1447769</c:v>
                </c:pt>
                <c:pt idx="223">
                  <c:v>3684</c:v>
                </c:pt>
                <c:pt idx="224">
                  <c:v>94273</c:v>
                </c:pt>
                <c:pt idx="225">
                  <c:v>1025324</c:v>
                </c:pt>
                <c:pt idx="226">
                  <c:v>104354</c:v>
                </c:pt>
                <c:pt idx="227">
                  <c:v>171263</c:v>
                </c:pt>
                <c:pt idx="228">
                  <c:v>134513</c:v>
                </c:pt>
                <c:pt idx="229">
                  <c:v>330353</c:v>
                </c:pt>
                <c:pt idx="230">
                  <c:v>48012</c:v>
                </c:pt>
                <c:pt idx="231">
                  <c:v>3958</c:v>
                </c:pt>
                <c:pt idx="232">
                  <c:v>1</c:v>
                </c:pt>
                <c:pt idx="233">
                  <c:v>1712451</c:v>
                </c:pt>
                <c:pt idx="234">
                  <c:v>1029122</c:v>
                </c:pt>
                <c:pt idx="235">
                  <c:v>10806135</c:v>
                </c:pt>
                <c:pt idx="236">
                  <c:v>1478306</c:v>
                </c:pt>
                <c:pt idx="237">
                  <c:v>1211779</c:v>
                </c:pt>
                <c:pt idx="238">
                  <c:v>649771</c:v>
                </c:pt>
                <c:pt idx="239">
                  <c:v>125843</c:v>
                </c:pt>
                <c:pt idx="240">
                  <c:v>2439394</c:v>
                </c:pt>
                <c:pt idx="241">
                  <c:v>19573</c:v>
                </c:pt>
                <c:pt idx="242">
                  <c:v>187718</c:v>
                </c:pt>
                <c:pt idx="243">
                  <c:v>48647</c:v>
                </c:pt>
                <c:pt idx="244">
                  <c:v>254425</c:v>
                </c:pt>
                <c:pt idx="245">
                  <c:v>783180</c:v>
                </c:pt>
                <c:pt idx="246">
                  <c:v>1043530</c:v>
                </c:pt>
                <c:pt idx="247">
                  <c:v>321934</c:v>
                </c:pt>
                <c:pt idx="248">
                  <c:v>275338</c:v>
                </c:pt>
                <c:pt idx="249">
                  <c:v>456619</c:v>
                </c:pt>
                <c:pt idx="250">
                  <c:v>2525589</c:v>
                </c:pt>
                <c:pt idx="251">
                  <c:v>66953</c:v>
                </c:pt>
                <c:pt idx="252">
                  <c:v>46029</c:v>
                </c:pt>
                <c:pt idx="253">
                  <c:v>30938595</c:v>
                </c:pt>
                <c:pt idx="254">
                  <c:v>1064823</c:v>
                </c:pt>
                <c:pt idx="255">
                  <c:v>52370</c:v>
                </c:pt>
                <c:pt idx="256">
                  <c:v>267392</c:v>
                </c:pt>
                <c:pt idx="257">
                  <c:v>171264</c:v>
                </c:pt>
                <c:pt idx="258">
                  <c:v>37242</c:v>
                </c:pt>
                <c:pt idx="259">
                  <c:v>640980</c:v>
                </c:pt>
                <c:pt idx="260">
                  <c:v>39278</c:v>
                </c:pt>
                <c:pt idx="261">
                  <c:v>1438134</c:v>
                </c:pt>
                <c:pt idx="262">
                  <c:v>54483</c:v>
                </c:pt>
                <c:pt idx="263">
                  <c:v>34071</c:v>
                </c:pt>
                <c:pt idx="264">
                  <c:v>59492</c:v>
                </c:pt>
                <c:pt idx="265">
                  <c:v>15555</c:v>
                </c:pt>
                <c:pt idx="266">
                  <c:v>452486</c:v>
                </c:pt>
                <c:pt idx="267">
                  <c:v>59602</c:v>
                </c:pt>
                <c:pt idx="268">
                  <c:v>488233</c:v>
                </c:pt>
                <c:pt idx="269">
                  <c:v>106227</c:v>
                </c:pt>
                <c:pt idx="270">
                  <c:v>48361</c:v>
                </c:pt>
                <c:pt idx="271">
                  <c:v>52390</c:v>
                </c:pt>
                <c:pt idx="272">
                  <c:v>637774</c:v>
                </c:pt>
                <c:pt idx="273">
                  <c:v>1018289</c:v>
                </c:pt>
                <c:pt idx="274">
                  <c:v>601747</c:v>
                </c:pt>
                <c:pt idx="275">
                  <c:v>6860837</c:v>
                </c:pt>
                <c:pt idx="276">
                  <c:v>951631</c:v>
                </c:pt>
                <c:pt idx="277">
                  <c:v>2</c:v>
                </c:pt>
                <c:pt idx="278">
                  <c:v>26101</c:v>
                </c:pt>
                <c:pt idx="279">
                  <c:v>204643</c:v>
                </c:pt>
                <c:pt idx="280">
                  <c:v>19480</c:v>
                </c:pt>
                <c:pt idx="281">
                  <c:v>5536</c:v>
                </c:pt>
                <c:pt idx="282">
                  <c:v>41546</c:v>
                </c:pt>
                <c:pt idx="283">
                  <c:v>189523</c:v>
                </c:pt>
                <c:pt idx="284">
                  <c:v>5063771</c:v>
                </c:pt>
                <c:pt idx="285">
                  <c:v>47934</c:v>
                </c:pt>
                <c:pt idx="286">
                  <c:v>959695</c:v>
                </c:pt>
                <c:pt idx="287">
                  <c:v>88170</c:v>
                </c:pt>
                <c:pt idx="288">
                  <c:v>287613</c:v>
                </c:pt>
                <c:pt idx="289">
                  <c:v>50202</c:v>
                </c:pt>
                <c:pt idx="290">
                  <c:v>100954</c:v>
                </c:pt>
                <c:pt idx="291">
                  <c:v>156255</c:v>
                </c:pt>
                <c:pt idx="292">
                  <c:v>794747</c:v>
                </c:pt>
                <c:pt idx="293">
                  <c:v>282465</c:v>
                </c:pt>
                <c:pt idx="294">
                  <c:v>18614</c:v>
                </c:pt>
                <c:pt idx="295">
                  <c:v>186668</c:v>
                </c:pt>
                <c:pt idx="296">
                  <c:v>2054</c:v>
                </c:pt>
                <c:pt idx="297">
                  <c:v>39443</c:v>
                </c:pt>
                <c:pt idx="298">
                  <c:v>2228902</c:v>
                </c:pt>
                <c:pt idx="299">
                  <c:v>642798</c:v>
                </c:pt>
                <c:pt idx="300">
                  <c:v>975</c:v>
                </c:pt>
                <c:pt idx="301">
                  <c:v>18203</c:v>
                </c:pt>
                <c:pt idx="302">
                  <c:v>73915</c:v>
                </c:pt>
                <c:pt idx="303">
                  <c:v>284412</c:v>
                </c:pt>
                <c:pt idx="304">
                  <c:v>1661369</c:v>
                </c:pt>
                <c:pt idx="305">
                  <c:v>3609</c:v>
                </c:pt>
                <c:pt idx="306">
                  <c:v>695</c:v>
                </c:pt>
                <c:pt idx="307">
                  <c:v>2600565</c:v>
                </c:pt>
                <c:pt idx="308">
                  <c:v>372095</c:v>
                </c:pt>
                <c:pt idx="309">
                  <c:v>15214105</c:v>
                </c:pt>
                <c:pt idx="310">
                  <c:v>2096106</c:v>
                </c:pt>
                <c:pt idx="311">
                  <c:v>81730</c:v>
                </c:pt>
                <c:pt idx="312">
                  <c:v>46180</c:v>
                </c:pt>
                <c:pt idx="313">
                  <c:v>22278</c:v>
                </c:pt>
                <c:pt idx="314">
                  <c:v>56298</c:v>
                </c:pt>
                <c:pt idx="315">
                  <c:v>452202</c:v>
                </c:pt>
                <c:pt idx="316">
                  <c:v>9877070</c:v>
                </c:pt>
                <c:pt idx="317">
                  <c:v>79632</c:v>
                </c:pt>
                <c:pt idx="318">
                  <c:v>609145</c:v>
                </c:pt>
                <c:pt idx="319">
                  <c:v>81239</c:v>
                </c:pt>
                <c:pt idx="320">
                  <c:v>277</c:v>
                </c:pt>
                <c:pt idx="321">
                  <c:v>23745</c:v>
                </c:pt>
                <c:pt idx="322">
                  <c:v>1795623</c:v>
                </c:pt>
                <c:pt idx="323">
                  <c:v>53960</c:v>
                </c:pt>
                <c:pt idx="324">
                  <c:v>427200</c:v>
                </c:pt>
                <c:pt idx="325">
                  <c:v>25112803</c:v>
                </c:pt>
                <c:pt idx="326">
                  <c:v>15330</c:v>
                </c:pt>
                <c:pt idx="327">
                  <c:v>577345</c:v>
                </c:pt>
                <c:pt idx="328">
                  <c:v>776680</c:v>
                </c:pt>
                <c:pt idx="329">
                  <c:v>1065452</c:v>
                </c:pt>
                <c:pt idx="330">
                  <c:v>67938</c:v>
                </c:pt>
                <c:pt idx="331">
                  <c:v>55793</c:v>
                </c:pt>
                <c:pt idx="332">
                  <c:v>69962</c:v>
                </c:pt>
                <c:pt idx="333">
                  <c:v>4688603</c:v>
                </c:pt>
                <c:pt idx="334">
                  <c:v>10303977</c:v>
                </c:pt>
                <c:pt idx="335">
                  <c:v>526125</c:v>
                </c:pt>
                <c:pt idx="336">
                  <c:v>97</c:v>
                </c:pt>
                <c:pt idx="337">
                  <c:v>125337</c:v>
                </c:pt>
                <c:pt idx="338">
                  <c:v>87630</c:v>
                </c:pt>
                <c:pt idx="339">
                  <c:v>327183</c:v>
                </c:pt>
                <c:pt idx="340">
                  <c:v>144678</c:v>
                </c:pt>
                <c:pt idx="341">
                  <c:v>64790</c:v>
                </c:pt>
                <c:pt idx="342">
                  <c:v>443774</c:v>
                </c:pt>
                <c:pt idx="343">
                  <c:v>466961</c:v>
                </c:pt>
                <c:pt idx="344">
                  <c:v>59502</c:v>
                </c:pt>
                <c:pt idx="345">
                  <c:v>2067537</c:v>
                </c:pt>
                <c:pt idx="346">
                  <c:v>6959</c:v>
                </c:pt>
                <c:pt idx="347">
                  <c:v>22409</c:v>
                </c:pt>
                <c:pt idx="348">
                  <c:v>1</c:v>
                </c:pt>
                <c:pt idx="349">
                  <c:v>106794</c:v>
                </c:pt>
                <c:pt idx="350">
                  <c:v>173703</c:v>
                </c:pt>
                <c:pt idx="351">
                  <c:v>3531568</c:v>
                </c:pt>
                <c:pt idx="352">
                  <c:v>14753</c:v>
                </c:pt>
                <c:pt idx="353">
                  <c:v>84803</c:v>
                </c:pt>
                <c:pt idx="354">
                  <c:v>257322</c:v>
                </c:pt>
                <c:pt idx="355">
                  <c:v>2585</c:v>
                </c:pt>
                <c:pt idx="356">
                  <c:v>926624</c:v>
                </c:pt>
                <c:pt idx="357">
                  <c:v>63097</c:v>
                </c:pt>
                <c:pt idx="358">
                  <c:v>106725</c:v>
                </c:pt>
                <c:pt idx="359">
                  <c:v>1455</c:v>
                </c:pt>
                <c:pt idx="360">
                  <c:v>1031791</c:v>
                </c:pt>
                <c:pt idx="361">
                  <c:v>1867713</c:v>
                </c:pt>
                <c:pt idx="362">
                  <c:v>523136</c:v>
                </c:pt>
                <c:pt idx="363">
                  <c:v>108216</c:v>
                </c:pt>
                <c:pt idx="364">
                  <c:v>3610747</c:v>
                </c:pt>
                <c:pt idx="365">
                  <c:v>135025</c:v>
                </c:pt>
                <c:pt idx="366">
                  <c:v>176811</c:v>
                </c:pt>
                <c:pt idx="367">
                  <c:v>4880359</c:v>
                </c:pt>
                <c:pt idx="368">
                  <c:v>59052</c:v>
                </c:pt>
                <c:pt idx="369">
                  <c:v>645960</c:v>
                </c:pt>
                <c:pt idx="370">
                  <c:v>163150</c:v>
                </c:pt>
                <c:pt idx="371">
                  <c:v>5286887</c:v>
                </c:pt>
                <c:pt idx="372">
                  <c:v>1063</c:v>
                </c:pt>
                <c:pt idx="373">
                  <c:v>644117</c:v>
                </c:pt>
                <c:pt idx="374">
                  <c:v>28668</c:v>
                </c:pt>
                <c:pt idx="375">
                  <c:v>460787</c:v>
                </c:pt>
                <c:pt idx="376">
                  <c:v>8771</c:v>
                </c:pt>
                <c:pt idx="377">
                  <c:v>167528</c:v>
                </c:pt>
                <c:pt idx="378">
                  <c:v>5721506</c:v>
                </c:pt>
                <c:pt idx="379">
                  <c:v>4441</c:v>
                </c:pt>
                <c:pt idx="380">
                  <c:v>1194439</c:v>
                </c:pt>
                <c:pt idx="381">
                  <c:v>67367</c:v>
                </c:pt>
                <c:pt idx="382">
                  <c:v>23214</c:v>
                </c:pt>
                <c:pt idx="383">
                  <c:v>359037</c:v>
                </c:pt>
                <c:pt idx="384">
                  <c:v>649778</c:v>
                </c:pt>
                <c:pt idx="385">
                  <c:v>87829</c:v>
                </c:pt>
                <c:pt idx="386">
                  <c:v>288447</c:v>
                </c:pt>
                <c:pt idx="387">
                  <c:v>42215</c:v>
                </c:pt>
                <c:pt idx="388">
                  <c:v>47792</c:v>
                </c:pt>
                <c:pt idx="389">
                  <c:v>28413</c:v>
                </c:pt>
                <c:pt idx="390">
                  <c:v>114803</c:v>
                </c:pt>
                <c:pt idx="391">
                  <c:v>21492</c:v>
                </c:pt>
                <c:pt idx="392">
                  <c:v>89390</c:v>
                </c:pt>
                <c:pt idx="393">
                  <c:v>954977</c:v>
                </c:pt>
                <c:pt idx="394">
                  <c:v>6351</c:v>
                </c:pt>
                <c:pt idx="395">
                  <c:v>104187</c:v>
                </c:pt>
                <c:pt idx="396">
                  <c:v>166982</c:v>
                </c:pt>
                <c:pt idx="397">
                  <c:v>502401</c:v>
                </c:pt>
                <c:pt idx="398">
                  <c:v>80743</c:v>
                </c:pt>
                <c:pt idx="399">
                  <c:v>237386</c:v>
                </c:pt>
                <c:pt idx="400">
                  <c:v>197166</c:v>
                </c:pt>
                <c:pt idx="401">
                  <c:v>638352</c:v>
                </c:pt>
                <c:pt idx="402">
                  <c:v>1423472</c:v>
                </c:pt>
                <c:pt idx="403">
                  <c:v>1102311</c:v>
                </c:pt>
                <c:pt idx="404">
                  <c:v>6034926</c:v>
                </c:pt>
                <c:pt idx="405">
                  <c:v>2175718</c:v>
                </c:pt>
                <c:pt idx="406">
                  <c:v>5798</c:v>
                </c:pt>
                <c:pt idx="407">
                  <c:v>681004</c:v>
                </c:pt>
                <c:pt idx="408">
                  <c:v>724236</c:v>
                </c:pt>
                <c:pt idx="409">
                  <c:v>220766</c:v>
                </c:pt>
                <c:pt idx="410">
                  <c:v>21400</c:v>
                </c:pt>
                <c:pt idx="411">
                  <c:v>486542</c:v>
                </c:pt>
                <c:pt idx="412">
                  <c:v>30289</c:v>
                </c:pt>
                <c:pt idx="413">
                  <c:v>4414401</c:v>
                </c:pt>
                <c:pt idx="414">
                  <c:v>248354</c:v>
                </c:pt>
                <c:pt idx="415">
                  <c:v>1195732</c:v>
                </c:pt>
                <c:pt idx="416">
                  <c:v>143332</c:v>
                </c:pt>
                <c:pt idx="417">
                  <c:v>10542</c:v>
                </c:pt>
                <c:pt idx="418">
                  <c:v>463124</c:v>
                </c:pt>
                <c:pt idx="419">
                  <c:v>555995</c:v>
                </c:pt>
                <c:pt idx="420">
                  <c:v>48546</c:v>
                </c:pt>
                <c:pt idx="421">
                  <c:v>2061</c:v>
                </c:pt>
                <c:pt idx="422">
                  <c:v>495749</c:v>
                </c:pt>
                <c:pt idx="423">
                  <c:v>4253082</c:v>
                </c:pt>
                <c:pt idx="424">
                  <c:v>83409</c:v>
                </c:pt>
                <c:pt idx="425">
                  <c:v>73151</c:v>
                </c:pt>
                <c:pt idx="426">
                  <c:v>97854</c:v>
                </c:pt>
                <c:pt idx="427">
                  <c:v>49631</c:v>
                </c:pt>
                <c:pt idx="428">
                  <c:v>10789</c:v>
                </c:pt>
                <c:pt idx="429">
                  <c:v>193664</c:v>
                </c:pt>
                <c:pt idx="430">
                  <c:v>1828172</c:v>
                </c:pt>
                <c:pt idx="431">
                  <c:v>757469</c:v>
                </c:pt>
                <c:pt idx="432">
                  <c:v>11041</c:v>
                </c:pt>
                <c:pt idx="433">
                  <c:v>93418</c:v>
                </c:pt>
                <c:pt idx="434">
                  <c:v>131624</c:v>
                </c:pt>
                <c:pt idx="435">
                  <c:v>81457</c:v>
                </c:pt>
                <c:pt idx="436">
                  <c:v>59622</c:v>
                </c:pt>
                <c:pt idx="437">
                  <c:v>1687301</c:v>
                </c:pt>
                <c:pt idx="438">
                  <c:v>259406</c:v>
                </c:pt>
                <c:pt idx="439">
                  <c:v>247</c:v>
                </c:pt>
                <c:pt idx="440">
                  <c:v>144065</c:v>
                </c:pt>
                <c:pt idx="441">
                  <c:v>86275</c:v>
                </c:pt>
                <c:pt idx="442">
                  <c:v>97524</c:v>
                </c:pt>
                <c:pt idx="443">
                  <c:v>64825</c:v>
                </c:pt>
                <c:pt idx="444">
                  <c:v>17413</c:v>
                </c:pt>
                <c:pt idx="445">
                  <c:v>1597</c:v>
                </c:pt>
                <c:pt idx="446">
                  <c:v>282995</c:v>
                </c:pt>
                <c:pt idx="447">
                  <c:v>5902786</c:v>
                </c:pt>
                <c:pt idx="448">
                  <c:v>608480</c:v>
                </c:pt>
                <c:pt idx="449">
                  <c:v>18117</c:v>
                </c:pt>
                <c:pt idx="450">
                  <c:v>149367</c:v>
                </c:pt>
                <c:pt idx="451">
                  <c:v>146917</c:v>
                </c:pt>
                <c:pt idx="452">
                  <c:v>205064</c:v>
                </c:pt>
                <c:pt idx="453">
                  <c:v>6093</c:v>
                </c:pt>
                <c:pt idx="454">
                  <c:v>191347</c:v>
                </c:pt>
                <c:pt idx="455">
                  <c:v>58515</c:v>
                </c:pt>
                <c:pt idx="456">
                  <c:v>5866385</c:v>
                </c:pt>
                <c:pt idx="457">
                  <c:v>280257</c:v>
                </c:pt>
                <c:pt idx="458">
                  <c:v>5331834</c:v>
                </c:pt>
                <c:pt idx="459">
                  <c:v>148175</c:v>
                </c:pt>
                <c:pt idx="460">
                  <c:v>1363768</c:v>
                </c:pt>
                <c:pt idx="461">
                  <c:v>68</c:v>
                </c:pt>
                <c:pt idx="462">
                  <c:v>1089827</c:v>
                </c:pt>
                <c:pt idx="463">
                  <c:v>776720</c:v>
                </c:pt>
                <c:pt idx="464">
                  <c:v>652678</c:v>
                </c:pt>
                <c:pt idx="465">
                  <c:v>15768</c:v>
                </c:pt>
                <c:pt idx="466">
                  <c:v>1423438</c:v>
                </c:pt>
                <c:pt idx="467">
                  <c:v>645</c:v>
                </c:pt>
                <c:pt idx="468">
                  <c:v>1623372</c:v>
                </c:pt>
                <c:pt idx="469">
                  <c:v>445</c:v>
                </c:pt>
                <c:pt idx="470">
                  <c:v>187808</c:v>
                </c:pt>
                <c:pt idx="471">
                  <c:v>771645</c:v>
                </c:pt>
                <c:pt idx="472">
                  <c:v>41497994</c:v>
                </c:pt>
                <c:pt idx="473">
                  <c:v>15528</c:v>
                </c:pt>
                <c:pt idx="474">
                  <c:v>54706</c:v>
                </c:pt>
                <c:pt idx="475">
                  <c:v>61692</c:v>
                </c:pt>
                <c:pt idx="476">
                  <c:v>44534</c:v>
                </c:pt>
                <c:pt idx="477">
                  <c:v>54874</c:v>
                </c:pt>
                <c:pt idx="478">
                  <c:v>19292554</c:v>
                </c:pt>
                <c:pt idx="479">
                  <c:v>2090493</c:v>
                </c:pt>
                <c:pt idx="480">
                  <c:v>16521</c:v>
                </c:pt>
                <c:pt idx="481">
                  <c:v>63338</c:v>
                </c:pt>
                <c:pt idx="482">
                  <c:v>284</c:v>
                </c:pt>
                <c:pt idx="483">
                  <c:v>68020</c:v>
                </c:pt>
                <c:pt idx="484">
                  <c:v>322429</c:v>
                </c:pt>
                <c:pt idx="485">
                  <c:v>106995</c:v>
                </c:pt>
                <c:pt idx="486">
                  <c:v>2499263</c:v>
                </c:pt>
                <c:pt idx="487">
                  <c:v>51465</c:v>
                </c:pt>
                <c:pt idx="488">
                  <c:v>16740852</c:v>
                </c:pt>
                <c:pt idx="489">
                  <c:v>990344</c:v>
                </c:pt>
                <c:pt idx="490">
                  <c:v>170584</c:v>
                </c:pt>
                <c:pt idx="491">
                  <c:v>183518</c:v>
                </c:pt>
                <c:pt idx="492">
                  <c:v>194987</c:v>
                </c:pt>
                <c:pt idx="493">
                  <c:v>1609764</c:v>
                </c:pt>
                <c:pt idx="494">
                  <c:v>2920520</c:v>
                </c:pt>
                <c:pt idx="495">
                  <c:v>3250412</c:v>
                </c:pt>
                <c:pt idx="496">
                  <c:v>6082829</c:v>
                </c:pt>
                <c:pt idx="497">
                  <c:v>29885</c:v>
                </c:pt>
                <c:pt idx="498">
                  <c:v>70587</c:v>
                </c:pt>
                <c:pt idx="499">
                  <c:v>424676</c:v>
                </c:pt>
                <c:pt idx="500">
                  <c:v>147414</c:v>
                </c:pt>
                <c:pt idx="501">
                  <c:v>81675</c:v>
                </c:pt>
                <c:pt idx="502">
                  <c:v>4749</c:v>
                </c:pt>
                <c:pt idx="503">
                  <c:v>43551</c:v>
                </c:pt>
                <c:pt idx="504">
                  <c:v>480382</c:v>
                </c:pt>
                <c:pt idx="505">
                  <c:v>1209373</c:v>
                </c:pt>
                <c:pt idx="506">
                  <c:v>643</c:v>
                </c:pt>
                <c:pt idx="507">
                  <c:v>73321</c:v>
                </c:pt>
                <c:pt idx="508">
                  <c:v>48935</c:v>
                </c:pt>
                <c:pt idx="509">
                  <c:v>538830</c:v>
                </c:pt>
                <c:pt idx="510">
                  <c:v>30186</c:v>
                </c:pt>
                <c:pt idx="511">
                  <c:v>8183</c:v>
                </c:pt>
                <c:pt idx="512">
                  <c:v>3808</c:v>
                </c:pt>
                <c:pt idx="513">
                  <c:v>102632</c:v>
                </c:pt>
                <c:pt idx="514">
                  <c:v>212849</c:v>
                </c:pt>
                <c:pt idx="515">
                  <c:v>50827</c:v>
                </c:pt>
                <c:pt idx="516">
                  <c:v>36442</c:v>
                </c:pt>
                <c:pt idx="517">
                  <c:v>41551</c:v>
                </c:pt>
                <c:pt idx="518">
                  <c:v>148198</c:v>
                </c:pt>
                <c:pt idx="519">
                  <c:v>34537</c:v>
                </c:pt>
                <c:pt idx="520">
                  <c:v>18104</c:v>
                </c:pt>
                <c:pt idx="521">
                  <c:v>519</c:v>
                </c:pt>
                <c:pt idx="522">
                  <c:v>653494</c:v>
                </c:pt>
                <c:pt idx="523">
                  <c:v>606461</c:v>
                </c:pt>
                <c:pt idx="524">
                  <c:v>2027986</c:v>
                </c:pt>
                <c:pt idx="525">
                  <c:v>181242</c:v>
                </c:pt>
                <c:pt idx="526">
                  <c:v>67642</c:v>
                </c:pt>
                <c:pt idx="527">
                  <c:v>7793725</c:v>
                </c:pt>
                <c:pt idx="528">
                  <c:v>644742</c:v>
                </c:pt>
                <c:pt idx="529">
                  <c:v>22686</c:v>
                </c:pt>
                <c:pt idx="530">
                  <c:v>524194</c:v>
                </c:pt>
                <c:pt idx="531">
                  <c:v>21777</c:v>
                </c:pt>
                <c:pt idx="532">
                  <c:v>299661</c:v>
                </c:pt>
                <c:pt idx="533">
                  <c:v>326247</c:v>
                </c:pt>
                <c:pt idx="534">
                  <c:v>1442405</c:v>
                </c:pt>
                <c:pt idx="535">
                  <c:v>123822</c:v>
                </c:pt>
                <c:pt idx="536">
                  <c:v>59456</c:v>
                </c:pt>
                <c:pt idx="537">
                  <c:v>2088155</c:v>
                </c:pt>
                <c:pt idx="538">
                  <c:v>12906</c:v>
                </c:pt>
                <c:pt idx="539">
                  <c:v>20033</c:v>
                </c:pt>
                <c:pt idx="540">
                  <c:v>3391</c:v>
                </c:pt>
                <c:pt idx="541">
                  <c:v>1811479</c:v>
                </c:pt>
                <c:pt idx="542">
                  <c:v>4</c:v>
                </c:pt>
                <c:pt idx="543">
                  <c:v>334020</c:v>
                </c:pt>
                <c:pt idx="544">
                  <c:v>39711</c:v>
                </c:pt>
                <c:pt idx="545">
                  <c:v>289795</c:v>
                </c:pt>
                <c:pt idx="546">
                  <c:v>31717</c:v>
                </c:pt>
                <c:pt idx="547">
                  <c:v>2394557</c:v>
                </c:pt>
                <c:pt idx="548">
                  <c:v>639688</c:v>
                </c:pt>
                <c:pt idx="549">
                  <c:v>2840</c:v>
                </c:pt>
                <c:pt idx="550">
                  <c:v>4161586</c:v>
                </c:pt>
                <c:pt idx="551">
                  <c:v>377674</c:v>
                </c:pt>
                <c:pt idx="552">
                  <c:v>402347</c:v>
                </c:pt>
                <c:pt idx="553">
                  <c:v>477921</c:v>
                </c:pt>
                <c:pt idx="554">
                  <c:v>211090</c:v>
                </c:pt>
                <c:pt idx="555">
                  <c:v>28896</c:v>
                </c:pt>
                <c:pt idx="556">
                  <c:v>1617205</c:v>
                </c:pt>
                <c:pt idx="557">
                  <c:v>936465</c:v>
                </c:pt>
                <c:pt idx="558">
                  <c:v>497012</c:v>
                </c:pt>
                <c:pt idx="559">
                  <c:v>5956868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5-1142-ACC9-0AD492167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622496"/>
        <c:axId val="1906624176"/>
      </c:scatterChart>
      <c:valAx>
        <c:axId val="19066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Spent on the Ad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624176"/>
        <c:crosses val="autoZero"/>
        <c:crossBetween val="midCat"/>
      </c:valAx>
      <c:valAx>
        <c:axId val="190662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Impressions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62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Spend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'PoliticalAds 2020'!$E$2:$E$561</c:f>
              <c:numCache>
                <c:formatCode>General</c:formatCode>
                <c:ptCount val="560"/>
                <c:pt idx="0">
                  <c:v>1</c:v>
                </c:pt>
                <c:pt idx="1">
                  <c:v>8749</c:v>
                </c:pt>
                <c:pt idx="2">
                  <c:v>2</c:v>
                </c:pt>
                <c:pt idx="3">
                  <c:v>924</c:v>
                </c:pt>
                <c:pt idx="4">
                  <c:v>7542</c:v>
                </c:pt>
                <c:pt idx="5">
                  <c:v>3334</c:v>
                </c:pt>
                <c:pt idx="6">
                  <c:v>300</c:v>
                </c:pt>
                <c:pt idx="7">
                  <c:v>124</c:v>
                </c:pt>
                <c:pt idx="8">
                  <c:v>149</c:v>
                </c:pt>
                <c:pt idx="9">
                  <c:v>223</c:v>
                </c:pt>
                <c:pt idx="10">
                  <c:v>122</c:v>
                </c:pt>
                <c:pt idx="11">
                  <c:v>510</c:v>
                </c:pt>
                <c:pt idx="12">
                  <c:v>302</c:v>
                </c:pt>
                <c:pt idx="13">
                  <c:v>257</c:v>
                </c:pt>
                <c:pt idx="14">
                  <c:v>86</c:v>
                </c:pt>
                <c:pt idx="15">
                  <c:v>8</c:v>
                </c:pt>
                <c:pt idx="16">
                  <c:v>3484</c:v>
                </c:pt>
                <c:pt idx="17">
                  <c:v>932</c:v>
                </c:pt>
                <c:pt idx="18">
                  <c:v>314</c:v>
                </c:pt>
                <c:pt idx="19">
                  <c:v>10969</c:v>
                </c:pt>
                <c:pt idx="20">
                  <c:v>193</c:v>
                </c:pt>
                <c:pt idx="21">
                  <c:v>188</c:v>
                </c:pt>
                <c:pt idx="22">
                  <c:v>182</c:v>
                </c:pt>
                <c:pt idx="23">
                  <c:v>12577</c:v>
                </c:pt>
                <c:pt idx="24">
                  <c:v>6134</c:v>
                </c:pt>
                <c:pt idx="25">
                  <c:v>686</c:v>
                </c:pt>
                <c:pt idx="26">
                  <c:v>238</c:v>
                </c:pt>
                <c:pt idx="27">
                  <c:v>183</c:v>
                </c:pt>
                <c:pt idx="28">
                  <c:v>20</c:v>
                </c:pt>
                <c:pt idx="29">
                  <c:v>1</c:v>
                </c:pt>
                <c:pt idx="30">
                  <c:v>560</c:v>
                </c:pt>
                <c:pt idx="31">
                  <c:v>293</c:v>
                </c:pt>
                <c:pt idx="32">
                  <c:v>6203</c:v>
                </c:pt>
                <c:pt idx="33">
                  <c:v>134</c:v>
                </c:pt>
                <c:pt idx="34">
                  <c:v>4973</c:v>
                </c:pt>
                <c:pt idx="35">
                  <c:v>3250</c:v>
                </c:pt>
                <c:pt idx="36">
                  <c:v>5</c:v>
                </c:pt>
                <c:pt idx="37">
                  <c:v>99</c:v>
                </c:pt>
                <c:pt idx="38">
                  <c:v>1989</c:v>
                </c:pt>
                <c:pt idx="39">
                  <c:v>1856</c:v>
                </c:pt>
                <c:pt idx="40">
                  <c:v>177</c:v>
                </c:pt>
                <c:pt idx="41">
                  <c:v>2114</c:v>
                </c:pt>
                <c:pt idx="42">
                  <c:v>827</c:v>
                </c:pt>
                <c:pt idx="43">
                  <c:v>125</c:v>
                </c:pt>
                <c:pt idx="44">
                  <c:v>6200</c:v>
                </c:pt>
                <c:pt idx="45">
                  <c:v>148</c:v>
                </c:pt>
                <c:pt idx="46">
                  <c:v>50</c:v>
                </c:pt>
                <c:pt idx="47">
                  <c:v>32</c:v>
                </c:pt>
                <c:pt idx="48">
                  <c:v>32</c:v>
                </c:pt>
                <c:pt idx="49">
                  <c:v>1121</c:v>
                </c:pt>
                <c:pt idx="50">
                  <c:v>35</c:v>
                </c:pt>
                <c:pt idx="51">
                  <c:v>555</c:v>
                </c:pt>
                <c:pt idx="52">
                  <c:v>878</c:v>
                </c:pt>
                <c:pt idx="53">
                  <c:v>275</c:v>
                </c:pt>
                <c:pt idx="54">
                  <c:v>130</c:v>
                </c:pt>
                <c:pt idx="55">
                  <c:v>5545</c:v>
                </c:pt>
                <c:pt idx="56">
                  <c:v>97</c:v>
                </c:pt>
                <c:pt idx="57">
                  <c:v>80</c:v>
                </c:pt>
                <c:pt idx="58">
                  <c:v>800</c:v>
                </c:pt>
                <c:pt idx="59">
                  <c:v>3320</c:v>
                </c:pt>
                <c:pt idx="60">
                  <c:v>11547</c:v>
                </c:pt>
                <c:pt idx="61">
                  <c:v>24496</c:v>
                </c:pt>
                <c:pt idx="62">
                  <c:v>32800</c:v>
                </c:pt>
                <c:pt idx="63">
                  <c:v>211</c:v>
                </c:pt>
                <c:pt idx="64">
                  <c:v>1963</c:v>
                </c:pt>
                <c:pt idx="65">
                  <c:v>80</c:v>
                </c:pt>
                <c:pt idx="66">
                  <c:v>457</c:v>
                </c:pt>
                <c:pt idx="67">
                  <c:v>38593</c:v>
                </c:pt>
                <c:pt idx="68">
                  <c:v>5247</c:v>
                </c:pt>
                <c:pt idx="69">
                  <c:v>2119</c:v>
                </c:pt>
                <c:pt idx="70">
                  <c:v>3349</c:v>
                </c:pt>
                <c:pt idx="71">
                  <c:v>5</c:v>
                </c:pt>
                <c:pt idx="72">
                  <c:v>54</c:v>
                </c:pt>
                <c:pt idx="73">
                  <c:v>450</c:v>
                </c:pt>
                <c:pt idx="74">
                  <c:v>41</c:v>
                </c:pt>
                <c:pt idx="75">
                  <c:v>256</c:v>
                </c:pt>
                <c:pt idx="76">
                  <c:v>402</c:v>
                </c:pt>
                <c:pt idx="77">
                  <c:v>10650</c:v>
                </c:pt>
                <c:pt idx="78">
                  <c:v>18</c:v>
                </c:pt>
                <c:pt idx="79">
                  <c:v>8317</c:v>
                </c:pt>
                <c:pt idx="80">
                  <c:v>0</c:v>
                </c:pt>
                <c:pt idx="81">
                  <c:v>10458</c:v>
                </c:pt>
                <c:pt idx="82">
                  <c:v>150</c:v>
                </c:pt>
                <c:pt idx="83">
                  <c:v>241</c:v>
                </c:pt>
                <c:pt idx="84">
                  <c:v>41593</c:v>
                </c:pt>
                <c:pt idx="85">
                  <c:v>16</c:v>
                </c:pt>
                <c:pt idx="86">
                  <c:v>1094</c:v>
                </c:pt>
                <c:pt idx="87">
                  <c:v>2089</c:v>
                </c:pt>
                <c:pt idx="88">
                  <c:v>921</c:v>
                </c:pt>
                <c:pt idx="89">
                  <c:v>128</c:v>
                </c:pt>
                <c:pt idx="90">
                  <c:v>41597</c:v>
                </c:pt>
                <c:pt idx="91">
                  <c:v>1588</c:v>
                </c:pt>
                <c:pt idx="92">
                  <c:v>0</c:v>
                </c:pt>
                <c:pt idx="93">
                  <c:v>181</c:v>
                </c:pt>
                <c:pt idx="94">
                  <c:v>137</c:v>
                </c:pt>
                <c:pt idx="95">
                  <c:v>6205</c:v>
                </c:pt>
                <c:pt idx="96">
                  <c:v>248</c:v>
                </c:pt>
                <c:pt idx="97">
                  <c:v>9067</c:v>
                </c:pt>
                <c:pt idx="98">
                  <c:v>293</c:v>
                </c:pt>
                <c:pt idx="99">
                  <c:v>66</c:v>
                </c:pt>
                <c:pt idx="100">
                  <c:v>350</c:v>
                </c:pt>
                <c:pt idx="101">
                  <c:v>331</c:v>
                </c:pt>
                <c:pt idx="102">
                  <c:v>20</c:v>
                </c:pt>
                <c:pt idx="103">
                  <c:v>2969</c:v>
                </c:pt>
                <c:pt idx="104">
                  <c:v>108</c:v>
                </c:pt>
                <c:pt idx="105">
                  <c:v>37</c:v>
                </c:pt>
                <c:pt idx="106">
                  <c:v>175</c:v>
                </c:pt>
                <c:pt idx="107">
                  <c:v>55</c:v>
                </c:pt>
                <c:pt idx="108">
                  <c:v>3</c:v>
                </c:pt>
                <c:pt idx="109">
                  <c:v>609</c:v>
                </c:pt>
                <c:pt idx="110">
                  <c:v>893</c:v>
                </c:pt>
                <c:pt idx="111">
                  <c:v>248</c:v>
                </c:pt>
                <c:pt idx="112">
                  <c:v>1</c:v>
                </c:pt>
                <c:pt idx="113">
                  <c:v>912</c:v>
                </c:pt>
                <c:pt idx="114">
                  <c:v>41596</c:v>
                </c:pt>
                <c:pt idx="115">
                  <c:v>283</c:v>
                </c:pt>
                <c:pt idx="116">
                  <c:v>102</c:v>
                </c:pt>
                <c:pt idx="117">
                  <c:v>493</c:v>
                </c:pt>
                <c:pt idx="118">
                  <c:v>22</c:v>
                </c:pt>
                <c:pt idx="119">
                  <c:v>96</c:v>
                </c:pt>
                <c:pt idx="120">
                  <c:v>97</c:v>
                </c:pt>
                <c:pt idx="121">
                  <c:v>3389</c:v>
                </c:pt>
                <c:pt idx="122">
                  <c:v>28872</c:v>
                </c:pt>
                <c:pt idx="123">
                  <c:v>370</c:v>
                </c:pt>
                <c:pt idx="124">
                  <c:v>0</c:v>
                </c:pt>
                <c:pt idx="125">
                  <c:v>48</c:v>
                </c:pt>
                <c:pt idx="126">
                  <c:v>65</c:v>
                </c:pt>
                <c:pt idx="127">
                  <c:v>196</c:v>
                </c:pt>
                <c:pt idx="128">
                  <c:v>153</c:v>
                </c:pt>
                <c:pt idx="129">
                  <c:v>391</c:v>
                </c:pt>
                <c:pt idx="130">
                  <c:v>154</c:v>
                </c:pt>
                <c:pt idx="131">
                  <c:v>1282</c:v>
                </c:pt>
                <c:pt idx="132">
                  <c:v>189</c:v>
                </c:pt>
                <c:pt idx="133">
                  <c:v>1</c:v>
                </c:pt>
                <c:pt idx="134">
                  <c:v>200</c:v>
                </c:pt>
                <c:pt idx="135">
                  <c:v>16192</c:v>
                </c:pt>
                <c:pt idx="136">
                  <c:v>934</c:v>
                </c:pt>
                <c:pt idx="137">
                  <c:v>7272</c:v>
                </c:pt>
                <c:pt idx="138">
                  <c:v>2757</c:v>
                </c:pt>
                <c:pt idx="139">
                  <c:v>206</c:v>
                </c:pt>
                <c:pt idx="140">
                  <c:v>349</c:v>
                </c:pt>
                <c:pt idx="141">
                  <c:v>1070</c:v>
                </c:pt>
                <c:pt idx="142">
                  <c:v>125</c:v>
                </c:pt>
                <c:pt idx="143">
                  <c:v>429</c:v>
                </c:pt>
                <c:pt idx="144">
                  <c:v>164</c:v>
                </c:pt>
                <c:pt idx="145">
                  <c:v>74</c:v>
                </c:pt>
                <c:pt idx="146">
                  <c:v>862</c:v>
                </c:pt>
                <c:pt idx="147">
                  <c:v>19251</c:v>
                </c:pt>
                <c:pt idx="148">
                  <c:v>51</c:v>
                </c:pt>
                <c:pt idx="149">
                  <c:v>65</c:v>
                </c:pt>
                <c:pt idx="150">
                  <c:v>518</c:v>
                </c:pt>
                <c:pt idx="151">
                  <c:v>7</c:v>
                </c:pt>
                <c:pt idx="152">
                  <c:v>2688</c:v>
                </c:pt>
                <c:pt idx="153">
                  <c:v>10489</c:v>
                </c:pt>
                <c:pt idx="154">
                  <c:v>257</c:v>
                </c:pt>
                <c:pt idx="155">
                  <c:v>105</c:v>
                </c:pt>
                <c:pt idx="156">
                  <c:v>835</c:v>
                </c:pt>
                <c:pt idx="157">
                  <c:v>0</c:v>
                </c:pt>
                <c:pt idx="158">
                  <c:v>493</c:v>
                </c:pt>
                <c:pt idx="159">
                  <c:v>78</c:v>
                </c:pt>
                <c:pt idx="160">
                  <c:v>14199</c:v>
                </c:pt>
                <c:pt idx="161">
                  <c:v>8148</c:v>
                </c:pt>
                <c:pt idx="162">
                  <c:v>108</c:v>
                </c:pt>
                <c:pt idx="163">
                  <c:v>506</c:v>
                </c:pt>
                <c:pt idx="164">
                  <c:v>10528</c:v>
                </c:pt>
                <c:pt idx="165">
                  <c:v>152</c:v>
                </c:pt>
                <c:pt idx="166">
                  <c:v>122</c:v>
                </c:pt>
                <c:pt idx="167">
                  <c:v>13</c:v>
                </c:pt>
                <c:pt idx="168">
                  <c:v>78</c:v>
                </c:pt>
                <c:pt idx="169">
                  <c:v>11405</c:v>
                </c:pt>
                <c:pt idx="170">
                  <c:v>287</c:v>
                </c:pt>
                <c:pt idx="171">
                  <c:v>1859</c:v>
                </c:pt>
                <c:pt idx="172">
                  <c:v>146</c:v>
                </c:pt>
                <c:pt idx="173">
                  <c:v>155</c:v>
                </c:pt>
                <c:pt idx="174">
                  <c:v>6172</c:v>
                </c:pt>
                <c:pt idx="175">
                  <c:v>11220</c:v>
                </c:pt>
                <c:pt idx="176">
                  <c:v>500</c:v>
                </c:pt>
                <c:pt idx="177">
                  <c:v>162</c:v>
                </c:pt>
                <c:pt idx="178">
                  <c:v>1307</c:v>
                </c:pt>
                <c:pt idx="179">
                  <c:v>652</c:v>
                </c:pt>
                <c:pt idx="180">
                  <c:v>2</c:v>
                </c:pt>
                <c:pt idx="181">
                  <c:v>145</c:v>
                </c:pt>
                <c:pt idx="182">
                  <c:v>164</c:v>
                </c:pt>
                <c:pt idx="183">
                  <c:v>5</c:v>
                </c:pt>
                <c:pt idx="184">
                  <c:v>12650</c:v>
                </c:pt>
                <c:pt idx="185">
                  <c:v>284</c:v>
                </c:pt>
                <c:pt idx="186">
                  <c:v>211</c:v>
                </c:pt>
                <c:pt idx="187">
                  <c:v>16716</c:v>
                </c:pt>
                <c:pt idx="188">
                  <c:v>2</c:v>
                </c:pt>
                <c:pt idx="189">
                  <c:v>111</c:v>
                </c:pt>
                <c:pt idx="190">
                  <c:v>113</c:v>
                </c:pt>
                <c:pt idx="191">
                  <c:v>1</c:v>
                </c:pt>
                <c:pt idx="192">
                  <c:v>839</c:v>
                </c:pt>
                <c:pt idx="193">
                  <c:v>6362</c:v>
                </c:pt>
                <c:pt idx="194">
                  <c:v>188</c:v>
                </c:pt>
                <c:pt idx="195">
                  <c:v>20</c:v>
                </c:pt>
                <c:pt idx="196">
                  <c:v>219</c:v>
                </c:pt>
                <c:pt idx="197">
                  <c:v>819</c:v>
                </c:pt>
                <c:pt idx="198">
                  <c:v>196</c:v>
                </c:pt>
                <c:pt idx="199">
                  <c:v>1480</c:v>
                </c:pt>
                <c:pt idx="200">
                  <c:v>591</c:v>
                </c:pt>
                <c:pt idx="201">
                  <c:v>62175</c:v>
                </c:pt>
                <c:pt idx="202">
                  <c:v>90</c:v>
                </c:pt>
                <c:pt idx="203">
                  <c:v>201</c:v>
                </c:pt>
                <c:pt idx="204">
                  <c:v>670</c:v>
                </c:pt>
                <c:pt idx="205">
                  <c:v>209</c:v>
                </c:pt>
                <c:pt idx="206">
                  <c:v>1250</c:v>
                </c:pt>
                <c:pt idx="207">
                  <c:v>2580</c:v>
                </c:pt>
                <c:pt idx="208">
                  <c:v>250</c:v>
                </c:pt>
                <c:pt idx="209">
                  <c:v>1181</c:v>
                </c:pt>
                <c:pt idx="210">
                  <c:v>415</c:v>
                </c:pt>
                <c:pt idx="211">
                  <c:v>32</c:v>
                </c:pt>
                <c:pt idx="212">
                  <c:v>62</c:v>
                </c:pt>
                <c:pt idx="213">
                  <c:v>9472</c:v>
                </c:pt>
                <c:pt idx="214">
                  <c:v>4031</c:v>
                </c:pt>
                <c:pt idx="215">
                  <c:v>2070</c:v>
                </c:pt>
                <c:pt idx="216">
                  <c:v>13888</c:v>
                </c:pt>
                <c:pt idx="217">
                  <c:v>257</c:v>
                </c:pt>
                <c:pt idx="218">
                  <c:v>60</c:v>
                </c:pt>
                <c:pt idx="219">
                  <c:v>150</c:v>
                </c:pt>
                <c:pt idx="220">
                  <c:v>97</c:v>
                </c:pt>
                <c:pt idx="221">
                  <c:v>490</c:v>
                </c:pt>
                <c:pt idx="222">
                  <c:v>13934</c:v>
                </c:pt>
                <c:pt idx="223">
                  <c:v>23</c:v>
                </c:pt>
                <c:pt idx="224">
                  <c:v>159</c:v>
                </c:pt>
                <c:pt idx="225">
                  <c:v>2081</c:v>
                </c:pt>
                <c:pt idx="226">
                  <c:v>192</c:v>
                </c:pt>
                <c:pt idx="227">
                  <c:v>402</c:v>
                </c:pt>
                <c:pt idx="228">
                  <c:v>281</c:v>
                </c:pt>
                <c:pt idx="229">
                  <c:v>580</c:v>
                </c:pt>
                <c:pt idx="230">
                  <c:v>77</c:v>
                </c:pt>
                <c:pt idx="231">
                  <c:v>35</c:v>
                </c:pt>
                <c:pt idx="232">
                  <c:v>0</c:v>
                </c:pt>
                <c:pt idx="233">
                  <c:v>2085</c:v>
                </c:pt>
                <c:pt idx="234">
                  <c:v>2089</c:v>
                </c:pt>
                <c:pt idx="235">
                  <c:v>22918</c:v>
                </c:pt>
                <c:pt idx="236">
                  <c:v>14373</c:v>
                </c:pt>
                <c:pt idx="237">
                  <c:v>2942</c:v>
                </c:pt>
                <c:pt idx="238">
                  <c:v>6203</c:v>
                </c:pt>
                <c:pt idx="239">
                  <c:v>128</c:v>
                </c:pt>
                <c:pt idx="240">
                  <c:v>4935</c:v>
                </c:pt>
                <c:pt idx="241">
                  <c:v>75</c:v>
                </c:pt>
                <c:pt idx="242">
                  <c:v>467</c:v>
                </c:pt>
                <c:pt idx="243">
                  <c:v>83</c:v>
                </c:pt>
                <c:pt idx="244">
                  <c:v>2458</c:v>
                </c:pt>
                <c:pt idx="245">
                  <c:v>952</c:v>
                </c:pt>
                <c:pt idx="246">
                  <c:v>1318</c:v>
                </c:pt>
                <c:pt idx="247">
                  <c:v>3095</c:v>
                </c:pt>
                <c:pt idx="248">
                  <c:v>176</c:v>
                </c:pt>
                <c:pt idx="249">
                  <c:v>971</c:v>
                </c:pt>
                <c:pt idx="250">
                  <c:v>1000</c:v>
                </c:pt>
                <c:pt idx="251">
                  <c:v>129</c:v>
                </c:pt>
                <c:pt idx="252">
                  <c:v>473</c:v>
                </c:pt>
                <c:pt idx="253">
                  <c:v>75000</c:v>
                </c:pt>
                <c:pt idx="254">
                  <c:v>2755</c:v>
                </c:pt>
                <c:pt idx="255">
                  <c:v>84</c:v>
                </c:pt>
                <c:pt idx="256">
                  <c:v>468</c:v>
                </c:pt>
                <c:pt idx="257">
                  <c:v>155</c:v>
                </c:pt>
                <c:pt idx="258">
                  <c:v>42</c:v>
                </c:pt>
                <c:pt idx="259">
                  <c:v>6142</c:v>
                </c:pt>
                <c:pt idx="260">
                  <c:v>69</c:v>
                </c:pt>
                <c:pt idx="261">
                  <c:v>3376</c:v>
                </c:pt>
                <c:pt idx="262">
                  <c:v>118</c:v>
                </c:pt>
                <c:pt idx="263">
                  <c:v>299</c:v>
                </c:pt>
                <c:pt idx="264">
                  <c:v>150</c:v>
                </c:pt>
                <c:pt idx="265">
                  <c:v>59</c:v>
                </c:pt>
                <c:pt idx="266">
                  <c:v>1520</c:v>
                </c:pt>
                <c:pt idx="267">
                  <c:v>137</c:v>
                </c:pt>
                <c:pt idx="268">
                  <c:v>1247</c:v>
                </c:pt>
                <c:pt idx="269">
                  <c:v>183</c:v>
                </c:pt>
                <c:pt idx="270">
                  <c:v>498</c:v>
                </c:pt>
                <c:pt idx="271">
                  <c:v>84</c:v>
                </c:pt>
                <c:pt idx="272">
                  <c:v>1714</c:v>
                </c:pt>
                <c:pt idx="273">
                  <c:v>4103</c:v>
                </c:pt>
                <c:pt idx="274">
                  <c:v>2071</c:v>
                </c:pt>
                <c:pt idx="275">
                  <c:v>7803</c:v>
                </c:pt>
                <c:pt idx="276">
                  <c:v>9080</c:v>
                </c:pt>
                <c:pt idx="277">
                  <c:v>0</c:v>
                </c:pt>
                <c:pt idx="278">
                  <c:v>256</c:v>
                </c:pt>
                <c:pt idx="279">
                  <c:v>509</c:v>
                </c:pt>
                <c:pt idx="280">
                  <c:v>53</c:v>
                </c:pt>
                <c:pt idx="281">
                  <c:v>21</c:v>
                </c:pt>
                <c:pt idx="282">
                  <c:v>398</c:v>
                </c:pt>
                <c:pt idx="283">
                  <c:v>513</c:v>
                </c:pt>
                <c:pt idx="284">
                  <c:v>8631</c:v>
                </c:pt>
                <c:pt idx="285">
                  <c:v>77</c:v>
                </c:pt>
                <c:pt idx="286">
                  <c:v>9158</c:v>
                </c:pt>
                <c:pt idx="287">
                  <c:v>236</c:v>
                </c:pt>
                <c:pt idx="288">
                  <c:v>1121</c:v>
                </c:pt>
                <c:pt idx="289">
                  <c:v>79</c:v>
                </c:pt>
                <c:pt idx="290">
                  <c:v>115</c:v>
                </c:pt>
                <c:pt idx="291">
                  <c:v>222</c:v>
                </c:pt>
                <c:pt idx="292">
                  <c:v>1861</c:v>
                </c:pt>
                <c:pt idx="293">
                  <c:v>494</c:v>
                </c:pt>
                <c:pt idx="294">
                  <c:v>75</c:v>
                </c:pt>
                <c:pt idx="295">
                  <c:v>368</c:v>
                </c:pt>
                <c:pt idx="296">
                  <c:v>7</c:v>
                </c:pt>
                <c:pt idx="297">
                  <c:v>162</c:v>
                </c:pt>
                <c:pt idx="298">
                  <c:v>21744</c:v>
                </c:pt>
                <c:pt idx="299">
                  <c:v>768</c:v>
                </c:pt>
                <c:pt idx="300">
                  <c:v>3</c:v>
                </c:pt>
                <c:pt idx="301">
                  <c:v>68</c:v>
                </c:pt>
                <c:pt idx="302">
                  <c:v>200</c:v>
                </c:pt>
                <c:pt idx="303">
                  <c:v>176</c:v>
                </c:pt>
                <c:pt idx="304">
                  <c:v>3700</c:v>
                </c:pt>
                <c:pt idx="305">
                  <c:v>13</c:v>
                </c:pt>
                <c:pt idx="306">
                  <c:v>2</c:v>
                </c:pt>
                <c:pt idx="307">
                  <c:v>11000</c:v>
                </c:pt>
                <c:pt idx="308">
                  <c:v>416</c:v>
                </c:pt>
                <c:pt idx="309">
                  <c:v>38612</c:v>
                </c:pt>
                <c:pt idx="310">
                  <c:v>2525</c:v>
                </c:pt>
                <c:pt idx="311">
                  <c:v>136</c:v>
                </c:pt>
                <c:pt idx="312">
                  <c:v>141</c:v>
                </c:pt>
                <c:pt idx="313">
                  <c:v>39</c:v>
                </c:pt>
                <c:pt idx="314">
                  <c:v>448</c:v>
                </c:pt>
                <c:pt idx="315">
                  <c:v>674</c:v>
                </c:pt>
                <c:pt idx="316">
                  <c:v>14668</c:v>
                </c:pt>
                <c:pt idx="317">
                  <c:v>151</c:v>
                </c:pt>
                <c:pt idx="318">
                  <c:v>1241</c:v>
                </c:pt>
                <c:pt idx="319">
                  <c:v>200</c:v>
                </c:pt>
                <c:pt idx="320">
                  <c:v>1</c:v>
                </c:pt>
                <c:pt idx="321">
                  <c:v>91</c:v>
                </c:pt>
                <c:pt idx="322">
                  <c:v>2083</c:v>
                </c:pt>
                <c:pt idx="323">
                  <c:v>108</c:v>
                </c:pt>
                <c:pt idx="324">
                  <c:v>1244</c:v>
                </c:pt>
                <c:pt idx="325">
                  <c:v>41595</c:v>
                </c:pt>
                <c:pt idx="326">
                  <c:v>136</c:v>
                </c:pt>
                <c:pt idx="327">
                  <c:v>988</c:v>
                </c:pt>
                <c:pt idx="328">
                  <c:v>1903</c:v>
                </c:pt>
                <c:pt idx="329">
                  <c:v>1306</c:v>
                </c:pt>
                <c:pt idx="330">
                  <c:v>153</c:v>
                </c:pt>
                <c:pt idx="331">
                  <c:v>495</c:v>
                </c:pt>
                <c:pt idx="332">
                  <c:v>149</c:v>
                </c:pt>
                <c:pt idx="333">
                  <c:v>9800</c:v>
                </c:pt>
                <c:pt idx="334">
                  <c:v>21842</c:v>
                </c:pt>
                <c:pt idx="335">
                  <c:v>5031</c:v>
                </c:pt>
                <c:pt idx="336">
                  <c:v>0</c:v>
                </c:pt>
                <c:pt idx="337">
                  <c:v>934</c:v>
                </c:pt>
                <c:pt idx="338">
                  <c:v>698</c:v>
                </c:pt>
                <c:pt idx="339">
                  <c:v>750</c:v>
                </c:pt>
                <c:pt idx="340">
                  <c:v>289</c:v>
                </c:pt>
                <c:pt idx="341">
                  <c:v>111</c:v>
                </c:pt>
                <c:pt idx="342">
                  <c:v>928</c:v>
                </c:pt>
                <c:pt idx="343">
                  <c:v>936</c:v>
                </c:pt>
                <c:pt idx="344">
                  <c:v>150</c:v>
                </c:pt>
                <c:pt idx="345">
                  <c:v>3069</c:v>
                </c:pt>
                <c:pt idx="346">
                  <c:v>65</c:v>
                </c:pt>
                <c:pt idx="347">
                  <c:v>19</c:v>
                </c:pt>
                <c:pt idx="348">
                  <c:v>0</c:v>
                </c:pt>
                <c:pt idx="349">
                  <c:v>152</c:v>
                </c:pt>
                <c:pt idx="350">
                  <c:v>351</c:v>
                </c:pt>
                <c:pt idx="351">
                  <c:v>8314</c:v>
                </c:pt>
                <c:pt idx="352">
                  <c:v>56</c:v>
                </c:pt>
                <c:pt idx="353">
                  <c:v>195</c:v>
                </c:pt>
                <c:pt idx="354">
                  <c:v>725</c:v>
                </c:pt>
                <c:pt idx="355">
                  <c:v>4</c:v>
                </c:pt>
                <c:pt idx="356">
                  <c:v>2126</c:v>
                </c:pt>
                <c:pt idx="357">
                  <c:v>527</c:v>
                </c:pt>
                <c:pt idx="358">
                  <c:v>186</c:v>
                </c:pt>
                <c:pt idx="359">
                  <c:v>5</c:v>
                </c:pt>
                <c:pt idx="360">
                  <c:v>2094</c:v>
                </c:pt>
                <c:pt idx="361">
                  <c:v>6413</c:v>
                </c:pt>
                <c:pt idx="362">
                  <c:v>570</c:v>
                </c:pt>
                <c:pt idx="363">
                  <c:v>154</c:v>
                </c:pt>
                <c:pt idx="364">
                  <c:v>8323</c:v>
                </c:pt>
                <c:pt idx="365">
                  <c:v>284</c:v>
                </c:pt>
                <c:pt idx="366">
                  <c:v>496</c:v>
                </c:pt>
                <c:pt idx="367">
                  <c:v>10213</c:v>
                </c:pt>
                <c:pt idx="368">
                  <c:v>130</c:v>
                </c:pt>
                <c:pt idx="369">
                  <c:v>6167</c:v>
                </c:pt>
                <c:pt idx="370">
                  <c:v>332</c:v>
                </c:pt>
                <c:pt idx="371">
                  <c:v>10881</c:v>
                </c:pt>
                <c:pt idx="372">
                  <c:v>4</c:v>
                </c:pt>
                <c:pt idx="373">
                  <c:v>6139</c:v>
                </c:pt>
                <c:pt idx="374">
                  <c:v>36</c:v>
                </c:pt>
                <c:pt idx="375">
                  <c:v>878</c:v>
                </c:pt>
                <c:pt idx="376">
                  <c:v>33</c:v>
                </c:pt>
                <c:pt idx="377">
                  <c:v>159</c:v>
                </c:pt>
                <c:pt idx="378">
                  <c:v>7625</c:v>
                </c:pt>
                <c:pt idx="379">
                  <c:v>17</c:v>
                </c:pt>
                <c:pt idx="380">
                  <c:v>2696</c:v>
                </c:pt>
                <c:pt idx="381">
                  <c:v>521</c:v>
                </c:pt>
                <c:pt idx="382">
                  <c:v>63</c:v>
                </c:pt>
                <c:pt idx="383">
                  <c:v>3475</c:v>
                </c:pt>
                <c:pt idx="384">
                  <c:v>6201</c:v>
                </c:pt>
                <c:pt idx="385">
                  <c:v>147</c:v>
                </c:pt>
                <c:pt idx="386">
                  <c:v>665</c:v>
                </c:pt>
                <c:pt idx="387">
                  <c:v>382</c:v>
                </c:pt>
                <c:pt idx="388">
                  <c:v>102</c:v>
                </c:pt>
                <c:pt idx="389">
                  <c:v>280</c:v>
                </c:pt>
                <c:pt idx="390">
                  <c:v>946</c:v>
                </c:pt>
                <c:pt idx="391">
                  <c:v>67</c:v>
                </c:pt>
                <c:pt idx="392">
                  <c:v>240</c:v>
                </c:pt>
                <c:pt idx="393">
                  <c:v>9112</c:v>
                </c:pt>
                <c:pt idx="394">
                  <c:v>55</c:v>
                </c:pt>
                <c:pt idx="395">
                  <c:v>205</c:v>
                </c:pt>
                <c:pt idx="396">
                  <c:v>155</c:v>
                </c:pt>
                <c:pt idx="397">
                  <c:v>832</c:v>
                </c:pt>
                <c:pt idx="398">
                  <c:v>200</c:v>
                </c:pt>
                <c:pt idx="399">
                  <c:v>484</c:v>
                </c:pt>
                <c:pt idx="400">
                  <c:v>511</c:v>
                </c:pt>
                <c:pt idx="401">
                  <c:v>6117</c:v>
                </c:pt>
                <c:pt idx="402">
                  <c:v>4457</c:v>
                </c:pt>
                <c:pt idx="403">
                  <c:v>1844</c:v>
                </c:pt>
                <c:pt idx="404">
                  <c:v>12935</c:v>
                </c:pt>
                <c:pt idx="405">
                  <c:v>2688</c:v>
                </c:pt>
                <c:pt idx="406">
                  <c:v>65</c:v>
                </c:pt>
                <c:pt idx="407">
                  <c:v>934</c:v>
                </c:pt>
                <c:pt idx="408">
                  <c:v>2054</c:v>
                </c:pt>
                <c:pt idx="409">
                  <c:v>2113</c:v>
                </c:pt>
                <c:pt idx="410">
                  <c:v>36</c:v>
                </c:pt>
                <c:pt idx="411">
                  <c:v>4662</c:v>
                </c:pt>
                <c:pt idx="412">
                  <c:v>68</c:v>
                </c:pt>
                <c:pt idx="413">
                  <c:v>9220</c:v>
                </c:pt>
                <c:pt idx="414">
                  <c:v>441</c:v>
                </c:pt>
                <c:pt idx="415">
                  <c:v>3757</c:v>
                </c:pt>
                <c:pt idx="416">
                  <c:v>287</c:v>
                </c:pt>
                <c:pt idx="417">
                  <c:v>29</c:v>
                </c:pt>
                <c:pt idx="418">
                  <c:v>928</c:v>
                </c:pt>
                <c:pt idx="419">
                  <c:v>3990</c:v>
                </c:pt>
                <c:pt idx="420">
                  <c:v>104</c:v>
                </c:pt>
                <c:pt idx="421">
                  <c:v>3</c:v>
                </c:pt>
                <c:pt idx="422">
                  <c:v>4750</c:v>
                </c:pt>
                <c:pt idx="423">
                  <c:v>41593</c:v>
                </c:pt>
                <c:pt idx="424">
                  <c:v>198</c:v>
                </c:pt>
                <c:pt idx="425">
                  <c:v>159</c:v>
                </c:pt>
                <c:pt idx="426">
                  <c:v>935</c:v>
                </c:pt>
                <c:pt idx="427">
                  <c:v>54</c:v>
                </c:pt>
                <c:pt idx="428">
                  <c:v>41</c:v>
                </c:pt>
                <c:pt idx="429">
                  <c:v>365</c:v>
                </c:pt>
                <c:pt idx="430">
                  <c:v>17624</c:v>
                </c:pt>
                <c:pt idx="431">
                  <c:v>7223</c:v>
                </c:pt>
                <c:pt idx="432">
                  <c:v>23</c:v>
                </c:pt>
                <c:pt idx="433">
                  <c:v>215</c:v>
                </c:pt>
                <c:pt idx="434">
                  <c:v>187</c:v>
                </c:pt>
                <c:pt idx="435">
                  <c:v>146</c:v>
                </c:pt>
                <c:pt idx="436">
                  <c:v>126</c:v>
                </c:pt>
                <c:pt idx="437">
                  <c:v>16248</c:v>
                </c:pt>
                <c:pt idx="438">
                  <c:v>300</c:v>
                </c:pt>
                <c:pt idx="439">
                  <c:v>0</c:v>
                </c:pt>
                <c:pt idx="440">
                  <c:v>288</c:v>
                </c:pt>
                <c:pt idx="441">
                  <c:v>158</c:v>
                </c:pt>
                <c:pt idx="442">
                  <c:v>931</c:v>
                </c:pt>
                <c:pt idx="443">
                  <c:v>124</c:v>
                </c:pt>
                <c:pt idx="444">
                  <c:v>75</c:v>
                </c:pt>
                <c:pt idx="445">
                  <c:v>6</c:v>
                </c:pt>
                <c:pt idx="446">
                  <c:v>1000</c:v>
                </c:pt>
                <c:pt idx="447">
                  <c:v>6000</c:v>
                </c:pt>
                <c:pt idx="448">
                  <c:v>1647</c:v>
                </c:pt>
                <c:pt idx="449">
                  <c:v>77</c:v>
                </c:pt>
                <c:pt idx="450">
                  <c:v>363</c:v>
                </c:pt>
                <c:pt idx="451">
                  <c:v>203</c:v>
                </c:pt>
                <c:pt idx="452">
                  <c:v>287</c:v>
                </c:pt>
                <c:pt idx="453">
                  <c:v>23</c:v>
                </c:pt>
                <c:pt idx="454">
                  <c:v>326</c:v>
                </c:pt>
                <c:pt idx="455">
                  <c:v>489</c:v>
                </c:pt>
                <c:pt idx="456">
                  <c:v>10602</c:v>
                </c:pt>
                <c:pt idx="457">
                  <c:v>503</c:v>
                </c:pt>
                <c:pt idx="458">
                  <c:v>8270</c:v>
                </c:pt>
                <c:pt idx="459">
                  <c:v>219</c:v>
                </c:pt>
                <c:pt idx="460">
                  <c:v>2428</c:v>
                </c:pt>
                <c:pt idx="461">
                  <c:v>0</c:v>
                </c:pt>
                <c:pt idx="462">
                  <c:v>2518</c:v>
                </c:pt>
                <c:pt idx="463">
                  <c:v>1590</c:v>
                </c:pt>
                <c:pt idx="464">
                  <c:v>6226</c:v>
                </c:pt>
                <c:pt idx="465">
                  <c:v>146</c:v>
                </c:pt>
                <c:pt idx="466">
                  <c:v>1814</c:v>
                </c:pt>
                <c:pt idx="467">
                  <c:v>2</c:v>
                </c:pt>
                <c:pt idx="468">
                  <c:v>3305</c:v>
                </c:pt>
                <c:pt idx="469">
                  <c:v>4</c:v>
                </c:pt>
                <c:pt idx="470">
                  <c:v>267</c:v>
                </c:pt>
                <c:pt idx="471">
                  <c:v>1659</c:v>
                </c:pt>
                <c:pt idx="472">
                  <c:v>48458</c:v>
                </c:pt>
                <c:pt idx="473">
                  <c:v>33</c:v>
                </c:pt>
                <c:pt idx="474">
                  <c:v>109</c:v>
                </c:pt>
                <c:pt idx="475">
                  <c:v>508</c:v>
                </c:pt>
                <c:pt idx="476">
                  <c:v>79</c:v>
                </c:pt>
                <c:pt idx="477">
                  <c:v>88</c:v>
                </c:pt>
                <c:pt idx="478">
                  <c:v>48487</c:v>
                </c:pt>
                <c:pt idx="479">
                  <c:v>11000</c:v>
                </c:pt>
                <c:pt idx="480">
                  <c:v>15</c:v>
                </c:pt>
                <c:pt idx="481">
                  <c:v>139</c:v>
                </c:pt>
                <c:pt idx="482">
                  <c:v>1</c:v>
                </c:pt>
                <c:pt idx="483">
                  <c:v>242</c:v>
                </c:pt>
                <c:pt idx="484">
                  <c:v>609</c:v>
                </c:pt>
                <c:pt idx="485">
                  <c:v>241</c:v>
                </c:pt>
                <c:pt idx="486">
                  <c:v>24443</c:v>
                </c:pt>
                <c:pt idx="487">
                  <c:v>83</c:v>
                </c:pt>
                <c:pt idx="488">
                  <c:v>41594</c:v>
                </c:pt>
                <c:pt idx="489">
                  <c:v>9441</c:v>
                </c:pt>
                <c:pt idx="490">
                  <c:v>503</c:v>
                </c:pt>
                <c:pt idx="491">
                  <c:v>481</c:v>
                </c:pt>
                <c:pt idx="492">
                  <c:v>464</c:v>
                </c:pt>
                <c:pt idx="493">
                  <c:v>4870</c:v>
                </c:pt>
                <c:pt idx="494">
                  <c:v>9575</c:v>
                </c:pt>
                <c:pt idx="495">
                  <c:v>3703</c:v>
                </c:pt>
                <c:pt idx="496">
                  <c:v>7255</c:v>
                </c:pt>
                <c:pt idx="497">
                  <c:v>50</c:v>
                </c:pt>
                <c:pt idx="498">
                  <c:v>580</c:v>
                </c:pt>
                <c:pt idx="499">
                  <c:v>795</c:v>
                </c:pt>
                <c:pt idx="500">
                  <c:v>322</c:v>
                </c:pt>
                <c:pt idx="501">
                  <c:v>138</c:v>
                </c:pt>
                <c:pt idx="502">
                  <c:v>44</c:v>
                </c:pt>
                <c:pt idx="503">
                  <c:v>97</c:v>
                </c:pt>
                <c:pt idx="504">
                  <c:v>4604</c:v>
                </c:pt>
                <c:pt idx="505">
                  <c:v>11716</c:v>
                </c:pt>
                <c:pt idx="506">
                  <c:v>6</c:v>
                </c:pt>
                <c:pt idx="507">
                  <c:v>149</c:v>
                </c:pt>
                <c:pt idx="508">
                  <c:v>505</c:v>
                </c:pt>
                <c:pt idx="509">
                  <c:v>5153</c:v>
                </c:pt>
                <c:pt idx="510">
                  <c:v>55</c:v>
                </c:pt>
                <c:pt idx="511">
                  <c:v>64</c:v>
                </c:pt>
                <c:pt idx="512">
                  <c:v>14</c:v>
                </c:pt>
                <c:pt idx="513">
                  <c:v>1675</c:v>
                </c:pt>
                <c:pt idx="514">
                  <c:v>292</c:v>
                </c:pt>
                <c:pt idx="515">
                  <c:v>129</c:v>
                </c:pt>
                <c:pt idx="516">
                  <c:v>42</c:v>
                </c:pt>
                <c:pt idx="517">
                  <c:v>100</c:v>
                </c:pt>
                <c:pt idx="518">
                  <c:v>203</c:v>
                </c:pt>
                <c:pt idx="519">
                  <c:v>250</c:v>
                </c:pt>
                <c:pt idx="520">
                  <c:v>32</c:v>
                </c:pt>
                <c:pt idx="521">
                  <c:v>5</c:v>
                </c:pt>
                <c:pt idx="522">
                  <c:v>6238</c:v>
                </c:pt>
                <c:pt idx="523">
                  <c:v>1441</c:v>
                </c:pt>
                <c:pt idx="524">
                  <c:v>4892</c:v>
                </c:pt>
                <c:pt idx="525">
                  <c:v>457</c:v>
                </c:pt>
                <c:pt idx="526">
                  <c:v>120</c:v>
                </c:pt>
                <c:pt idx="527">
                  <c:v>5000</c:v>
                </c:pt>
                <c:pt idx="528">
                  <c:v>782</c:v>
                </c:pt>
                <c:pt idx="529">
                  <c:v>87</c:v>
                </c:pt>
                <c:pt idx="530">
                  <c:v>1346</c:v>
                </c:pt>
                <c:pt idx="531">
                  <c:v>32</c:v>
                </c:pt>
                <c:pt idx="532">
                  <c:v>500</c:v>
                </c:pt>
                <c:pt idx="533">
                  <c:v>592</c:v>
                </c:pt>
                <c:pt idx="534">
                  <c:v>1754</c:v>
                </c:pt>
                <c:pt idx="535">
                  <c:v>325</c:v>
                </c:pt>
                <c:pt idx="536">
                  <c:v>150</c:v>
                </c:pt>
                <c:pt idx="537">
                  <c:v>6242</c:v>
                </c:pt>
                <c:pt idx="538">
                  <c:v>117</c:v>
                </c:pt>
                <c:pt idx="539">
                  <c:v>20</c:v>
                </c:pt>
                <c:pt idx="540">
                  <c:v>32</c:v>
                </c:pt>
                <c:pt idx="541">
                  <c:v>17459</c:v>
                </c:pt>
                <c:pt idx="542">
                  <c:v>0</c:v>
                </c:pt>
                <c:pt idx="543">
                  <c:v>607</c:v>
                </c:pt>
                <c:pt idx="544">
                  <c:v>55</c:v>
                </c:pt>
                <c:pt idx="545">
                  <c:v>544</c:v>
                </c:pt>
                <c:pt idx="546">
                  <c:v>51</c:v>
                </c:pt>
                <c:pt idx="547">
                  <c:v>4844</c:v>
                </c:pt>
                <c:pt idx="548">
                  <c:v>6130</c:v>
                </c:pt>
                <c:pt idx="549">
                  <c:v>30</c:v>
                </c:pt>
                <c:pt idx="550">
                  <c:v>6208</c:v>
                </c:pt>
                <c:pt idx="551">
                  <c:v>3656</c:v>
                </c:pt>
                <c:pt idx="552">
                  <c:v>983</c:v>
                </c:pt>
                <c:pt idx="553">
                  <c:v>515</c:v>
                </c:pt>
                <c:pt idx="554">
                  <c:v>300</c:v>
                </c:pt>
                <c:pt idx="555">
                  <c:v>48</c:v>
                </c:pt>
                <c:pt idx="556">
                  <c:v>3292</c:v>
                </c:pt>
                <c:pt idx="557">
                  <c:v>2137</c:v>
                </c:pt>
                <c:pt idx="558">
                  <c:v>1247</c:v>
                </c:pt>
                <c:pt idx="559">
                  <c:v>12766</c:v>
                </c:pt>
              </c:numCache>
            </c:numRef>
          </c:xVal>
          <c:yVal>
            <c:numRef>
              <c:f>'Regression 2'!$C$25:$C$584</c:f>
              <c:numCache>
                <c:formatCode>General</c:formatCode>
                <c:ptCount val="560"/>
                <c:pt idx="0">
                  <c:v>-13959.886472551278</c:v>
                </c:pt>
                <c:pt idx="1">
                  <c:v>862545.90274318494</c:v>
                </c:pt>
                <c:pt idx="2">
                  <c:v>-13857.219715667905</c:v>
                </c:pt>
                <c:pt idx="3">
                  <c:v>454457.53013080085</c:v>
                </c:pt>
                <c:pt idx="4">
                  <c:v>2657902.1271849554</c:v>
                </c:pt>
                <c:pt idx="5">
                  <c:v>2047066.4142197268</c:v>
                </c:pt>
                <c:pt idx="6">
                  <c:v>32457.473835576879</c:v>
                </c:pt>
                <c:pt idx="7">
                  <c:v>11016.124624103453</c:v>
                </c:pt>
                <c:pt idx="8">
                  <c:v>-29480.20645381225</c:v>
                </c:pt>
                <c:pt idx="9">
                  <c:v>35703.133555557259</c:v>
                </c:pt>
                <c:pt idx="10">
                  <c:v>-2007.2088896632922</c:v>
                </c:pt>
                <c:pt idx="11">
                  <c:v>-124646.50721891504</c:v>
                </c:pt>
                <c:pt idx="12">
                  <c:v>-93979.192650656376</c:v>
                </c:pt>
                <c:pt idx="13">
                  <c:v>93875.803289591888</c:v>
                </c:pt>
                <c:pt idx="14">
                  <c:v>-35527.212137464681</c:v>
                </c:pt>
                <c:pt idx="15">
                  <c:v>-15975.219174367674</c:v>
                </c:pt>
                <c:pt idx="16">
                  <c:v>-188933.57224776736</c:v>
                </c:pt>
                <c:pt idx="17">
                  <c:v>-257683.13581413217</c:v>
                </c:pt>
                <c:pt idx="18">
                  <c:v>28283.808431944082</c:v>
                </c:pt>
                <c:pt idx="19">
                  <c:v>1297797.1030242704</c:v>
                </c:pt>
                <c:pt idx="20">
                  <c:v>49002.130849056106</c:v>
                </c:pt>
                <c:pt idx="21">
                  <c:v>72653.79706463925</c:v>
                </c:pt>
                <c:pt idx="22">
                  <c:v>-676.20347666098678</c:v>
                </c:pt>
                <c:pt idx="23">
                  <c:v>-3324295.7519072676</c:v>
                </c:pt>
                <c:pt idx="24">
                  <c:v>-1617544.6665068325</c:v>
                </c:pt>
                <c:pt idx="25">
                  <c:v>-93691.158007441612</c:v>
                </c:pt>
                <c:pt idx="26">
                  <c:v>4990.1349088078277</c:v>
                </c:pt>
                <c:pt idx="27">
                  <c:v>8654.4632802223787</c:v>
                </c:pt>
                <c:pt idx="28">
                  <c:v>-15897.218091767212</c:v>
                </c:pt>
                <c:pt idx="29">
                  <c:v>-13865.886472551278</c:v>
                </c:pt>
                <c:pt idx="30">
                  <c:v>62283.830625253526</c:v>
                </c:pt>
                <c:pt idx="31">
                  <c:v>125121.80653739328</c:v>
                </c:pt>
                <c:pt idx="32">
                  <c:v>-1636038.6602818798</c:v>
                </c:pt>
                <c:pt idx="33">
                  <c:v>-49680.207807062834</c:v>
                </c:pt>
                <c:pt idx="34">
                  <c:v>-809675.77124842699</c:v>
                </c:pt>
                <c:pt idx="35">
                  <c:v>443115.40664152359</c:v>
                </c:pt>
                <c:pt idx="36">
                  <c:v>-15225.21944501779</c:v>
                </c:pt>
                <c:pt idx="37">
                  <c:v>-39102.544297980843</c:v>
                </c:pt>
                <c:pt idx="38">
                  <c:v>906977.62621159176</c:v>
                </c:pt>
                <c:pt idx="39">
                  <c:v>838066.94754610339</c:v>
                </c:pt>
                <c:pt idx="40">
                  <c:v>82775.462738922157</c:v>
                </c:pt>
                <c:pt idx="41">
                  <c:v>-567445.02917798678</c:v>
                </c:pt>
                <c:pt idx="42">
                  <c:v>2102922.854713114</c:v>
                </c:pt>
                <c:pt idx="43">
                  <c:v>-46299.208619013181</c:v>
                </c:pt>
                <c:pt idx="44">
                  <c:v>-1635378.6605525296</c:v>
                </c:pt>
                <c:pt idx="45">
                  <c:v>19192.12678930437</c:v>
                </c:pt>
                <c:pt idx="46">
                  <c:v>-10014.215385266059</c:v>
                </c:pt>
                <c:pt idx="47">
                  <c:v>-7168.2170091667504</c:v>
                </c:pt>
                <c:pt idx="48">
                  <c:v>-11135.21700916675</c:v>
                </c:pt>
                <c:pt idx="49">
                  <c:v>-280202.11876317492</c:v>
                </c:pt>
                <c:pt idx="50">
                  <c:v>-9315.2167385166395</c:v>
                </c:pt>
                <c:pt idx="51">
                  <c:v>83300.496840836684</c:v>
                </c:pt>
                <c:pt idx="52">
                  <c:v>-107749.14068583422</c:v>
                </c:pt>
                <c:pt idx="53">
                  <c:v>134107.80491349258</c:v>
                </c:pt>
                <c:pt idx="54">
                  <c:v>41518.125165403682</c:v>
                </c:pt>
                <c:pt idx="55">
                  <c:v>267757.61368886172</c:v>
                </c:pt>
                <c:pt idx="56">
                  <c:v>-39838.877811747589</c:v>
                </c:pt>
                <c:pt idx="57">
                  <c:v>4586.7873212350969</c:v>
                </c:pt>
                <c:pt idx="58">
                  <c:v>-208698.14772273722</c:v>
                </c:pt>
                <c:pt idx="59">
                  <c:v>-108781.92037664051</c:v>
                </c:pt>
                <c:pt idx="60">
                  <c:v>-3053128.5114971409</c:v>
                </c:pt>
                <c:pt idx="61">
                  <c:v>-6481740.676614359</c:v>
                </c:pt>
                <c:pt idx="62">
                  <c:v>-8663345.9274548404</c:v>
                </c:pt>
                <c:pt idx="63">
                  <c:v>33633.132472956786</c:v>
                </c:pt>
                <c:pt idx="64">
                  <c:v>59447.290532624116</c:v>
                </c:pt>
                <c:pt idx="65">
                  <c:v>6598.7873212350969</c:v>
                </c:pt>
                <c:pt idx="66">
                  <c:v>-126097.84533373374</c:v>
                </c:pt>
                <c:pt idx="67">
                  <c:v>18790056.595170531</c:v>
                </c:pt>
                <c:pt idx="68">
                  <c:v>-1387422.079862383</c:v>
                </c:pt>
                <c:pt idx="69">
                  <c:v>-568713.69539356988</c:v>
                </c:pt>
                <c:pt idx="70">
                  <c:v>404551.41557297739</c:v>
                </c:pt>
                <c:pt idx="71">
                  <c:v>-12525.21944501779</c:v>
                </c:pt>
                <c:pt idx="72">
                  <c:v>-27907.548357732572</c:v>
                </c:pt>
                <c:pt idx="73">
                  <c:v>37936.487368082657</c:v>
                </c:pt>
                <c:pt idx="74">
                  <c:v>-18157.216197216407</c:v>
                </c:pt>
                <c:pt idx="75">
                  <c:v>-56463.863467291478</c:v>
                </c:pt>
                <c:pt idx="76">
                  <c:v>-119285.51696231921</c:v>
                </c:pt>
                <c:pt idx="77">
                  <c:v>1259857.4075784748</c:v>
                </c:pt>
                <c:pt idx="78">
                  <c:v>-15687.551605533958</c:v>
                </c:pt>
                <c:pt idx="79">
                  <c:v>1479913.8637695685</c:v>
                </c:pt>
                <c:pt idx="80">
                  <c:v>-13784.553229434649</c:v>
                </c:pt>
                <c:pt idx="81">
                  <c:v>1237373.3902568668</c:v>
                </c:pt>
                <c:pt idx="82">
                  <c:v>-9252.539696928885</c:v>
                </c:pt>
                <c:pt idx="83">
                  <c:v>-19236.864820542061</c:v>
                </c:pt>
                <c:pt idx="84">
                  <c:v>22892439.865820646</c:v>
                </c:pt>
                <c:pt idx="85">
                  <c:v>-15394.885119300699</c:v>
                </c:pt>
                <c:pt idx="86">
                  <c:v>-281279.12119902595</c:v>
                </c:pt>
                <c:pt idx="87">
                  <c:v>5777.3018999289488</c:v>
                </c:pt>
                <c:pt idx="88">
                  <c:v>248479.52986015077</c:v>
                </c:pt>
                <c:pt idx="89">
                  <c:v>-5966.2083483630631</c:v>
                </c:pt>
                <c:pt idx="90">
                  <c:v>-10893821.467151819</c:v>
                </c:pt>
                <c:pt idx="91">
                  <c:v>79780.256701359758</c:v>
                </c:pt>
                <c:pt idx="92">
                  <c:v>-13849.553229434649</c:v>
                </c:pt>
                <c:pt idx="93">
                  <c:v>19357.129766455633</c:v>
                </c:pt>
                <c:pt idx="94">
                  <c:v>-45265.207536412716</c:v>
                </c:pt>
                <c:pt idx="95">
                  <c:v>-1636634.3267681133</c:v>
                </c:pt>
                <c:pt idx="96">
                  <c:v>92870.802477641555</c:v>
                </c:pt>
                <c:pt idx="97">
                  <c:v>-2384448.0685679028</c:v>
                </c:pt>
                <c:pt idx="98">
                  <c:v>12130.806537393277</c:v>
                </c:pt>
                <c:pt idx="99">
                  <c:v>-26104.547275132114</c:v>
                </c:pt>
                <c:pt idx="100">
                  <c:v>621755.81167974544</c:v>
                </c:pt>
                <c:pt idx="101">
                  <c:v>-97464.856701038603</c:v>
                </c:pt>
                <c:pt idx="102">
                  <c:v>5898.7819082327878</c:v>
                </c:pt>
                <c:pt idx="103">
                  <c:v>73899.047957296018</c:v>
                </c:pt>
                <c:pt idx="104">
                  <c:v>25829.456513969504</c:v>
                </c:pt>
                <c:pt idx="105">
                  <c:v>-17655.883224749894</c:v>
                </c:pt>
                <c:pt idx="106">
                  <c:v>199931.1292251554</c:v>
                </c:pt>
                <c:pt idx="107">
                  <c:v>-1584.8816008491995</c:v>
                </c:pt>
                <c:pt idx="108">
                  <c:v>-13136.552958784534</c:v>
                </c:pt>
                <c:pt idx="109">
                  <c:v>161488.50171253877</c:v>
                </c:pt>
                <c:pt idx="110">
                  <c:v>344848.86066741636</c:v>
                </c:pt>
                <c:pt idx="111">
                  <c:v>-27346.197522358445</c:v>
                </c:pt>
                <c:pt idx="112">
                  <c:v>-13935.886472551278</c:v>
                </c:pt>
                <c:pt idx="113">
                  <c:v>241176.52904820041</c:v>
                </c:pt>
                <c:pt idx="114">
                  <c:v>-10895811.133908702</c:v>
                </c:pt>
                <c:pt idx="115">
                  <c:v>-24309.861031440436</c:v>
                </c:pt>
                <c:pt idx="116">
                  <c:v>52297.455972669268</c:v>
                </c:pt>
                <c:pt idx="117">
                  <c:v>-10020.842085932381</c:v>
                </c:pt>
                <c:pt idx="118">
                  <c:v>-15176.88457800047</c:v>
                </c:pt>
                <c:pt idx="119">
                  <c:v>21737.455431369039</c:v>
                </c:pt>
                <c:pt idx="120">
                  <c:v>25800.122188252411</c:v>
                </c:pt>
                <c:pt idx="121">
                  <c:v>1053264.0858483124</c:v>
                </c:pt>
                <c:pt idx="122">
                  <c:v>-7622891.9484927244</c:v>
                </c:pt>
                <c:pt idx="123">
                  <c:v>71932.146817412897</c:v>
                </c:pt>
                <c:pt idx="124">
                  <c:v>-13852.553229434649</c:v>
                </c:pt>
                <c:pt idx="125">
                  <c:v>-1859.5488990328049</c:v>
                </c:pt>
                <c:pt idx="126">
                  <c:v>29274.785967984513</c:v>
                </c:pt>
                <c:pt idx="127">
                  <c:v>22697.131119706217</c:v>
                </c:pt>
                <c:pt idx="128">
                  <c:v>-2604.5394262787595</c:v>
                </c:pt>
                <c:pt idx="129">
                  <c:v>48478.148711963702</c:v>
                </c:pt>
                <c:pt idx="130">
                  <c:v>-42747.872669395394</c:v>
                </c:pt>
                <c:pt idx="131">
                  <c:v>702158.22909504792</c:v>
                </c:pt>
                <c:pt idx="132">
                  <c:v>81989.463821522615</c:v>
                </c:pt>
                <c:pt idx="133">
                  <c:v>-13887.886472551278</c:v>
                </c:pt>
                <c:pt idx="134">
                  <c:v>-6461.2018527602922</c:v>
                </c:pt>
                <c:pt idx="135">
                  <c:v>-4264380.4257738786</c:v>
                </c:pt>
                <c:pt idx="136">
                  <c:v>109840.19769963459</c:v>
                </c:pt>
                <c:pt idx="137">
                  <c:v>4218745.1028264444</c:v>
                </c:pt>
                <c:pt idx="138">
                  <c:v>1252488.6954980213</c:v>
                </c:pt>
                <c:pt idx="139">
                  <c:v>998.79868853992957</c:v>
                </c:pt>
                <c:pt idx="140">
                  <c:v>35593.144922862091</c:v>
                </c:pt>
                <c:pt idx="141">
                  <c:v>102686.87663577311</c:v>
                </c:pt>
                <c:pt idx="142">
                  <c:v>7498.7913809868187</c:v>
                </c:pt>
                <c:pt idx="143">
                  <c:v>-5026.5145264681487</c:v>
                </c:pt>
                <c:pt idx="144">
                  <c:v>22476.794899438319</c:v>
                </c:pt>
                <c:pt idx="145">
                  <c:v>-19663.213220065139</c:v>
                </c:pt>
                <c:pt idx="146">
                  <c:v>223274.19120403181</c:v>
                </c:pt>
                <c:pt idx="147">
                  <c:v>-5090080.8164676446</c:v>
                </c:pt>
                <c:pt idx="148">
                  <c:v>-27671.54862838269</c:v>
                </c:pt>
                <c:pt idx="149">
                  <c:v>-31057.214032015487</c:v>
                </c:pt>
                <c:pt idx="150">
                  <c:v>-71311.173163848085</c:v>
                </c:pt>
                <c:pt idx="151">
                  <c:v>-14348.885931251047</c:v>
                </c:pt>
                <c:pt idx="152">
                  <c:v>1353184.6892730687</c:v>
                </c:pt>
                <c:pt idx="153">
                  <c:v>1240709.0597202517</c:v>
                </c:pt>
                <c:pt idx="154">
                  <c:v>22514.803289591888</c:v>
                </c:pt>
                <c:pt idx="155">
                  <c:v>1291.456243319386</c:v>
                </c:pt>
                <c:pt idx="156">
                  <c:v>457188.18876818079</c:v>
                </c:pt>
                <c:pt idx="157">
                  <c:v>-13842.553229434649</c:v>
                </c:pt>
                <c:pt idx="158">
                  <c:v>32996.157914067619</c:v>
                </c:pt>
                <c:pt idx="159">
                  <c:v>3911.4538074683514</c:v>
                </c:pt>
                <c:pt idx="160">
                  <c:v>1413275.727757561</c:v>
                </c:pt>
                <c:pt idx="161">
                  <c:v>395663.18185627833</c:v>
                </c:pt>
                <c:pt idx="162">
                  <c:v>872.45651396950416</c:v>
                </c:pt>
                <c:pt idx="163">
                  <c:v>10553.825753551471</c:v>
                </c:pt>
                <c:pt idx="164">
                  <c:v>1245321.0632387036</c:v>
                </c:pt>
                <c:pt idx="165">
                  <c:v>-29960.206183162139</c:v>
                </c:pt>
                <c:pt idx="166">
                  <c:v>17333.791110336708</c:v>
                </c:pt>
                <c:pt idx="167">
                  <c:v>-15150.885389950818</c:v>
                </c:pt>
                <c:pt idx="168">
                  <c:v>1274.4538074683514</c:v>
                </c:pt>
                <c:pt idx="169">
                  <c:v>-3016901.1909745801</c:v>
                </c:pt>
                <c:pt idx="170">
                  <c:v>24526.80599609304</c:v>
                </c:pt>
                <c:pt idx="171">
                  <c:v>882203.94781675341</c:v>
                </c:pt>
                <c:pt idx="172">
                  <c:v>2262.7932755376387</c:v>
                </c:pt>
                <c:pt idx="173">
                  <c:v>-54708.205912512029</c:v>
                </c:pt>
                <c:pt idx="174">
                  <c:v>-1627891.3297452638</c:v>
                </c:pt>
                <c:pt idx="175">
                  <c:v>-2969209.5409980034</c:v>
                </c:pt>
                <c:pt idx="176">
                  <c:v>123675.82521225122</c:v>
                </c:pt>
                <c:pt idx="177">
                  <c:v>-35493.538614328427</c:v>
                </c:pt>
                <c:pt idx="178">
                  <c:v>70523.898017132247</c:v>
                </c:pt>
                <c:pt idx="179">
                  <c:v>326071.17225852376</c:v>
                </c:pt>
                <c:pt idx="180">
                  <c:v>5139.7802843320951</c:v>
                </c:pt>
                <c:pt idx="181">
                  <c:v>2200.1265186542587</c:v>
                </c:pt>
                <c:pt idx="182">
                  <c:v>41061.794899438319</c:v>
                </c:pt>
                <c:pt idx="183">
                  <c:v>-13147.21944501779</c:v>
                </c:pt>
                <c:pt idx="184">
                  <c:v>1253701.9213452181</c:v>
                </c:pt>
                <c:pt idx="185">
                  <c:v>4101.8057254429295</c:v>
                </c:pt>
                <c:pt idx="186">
                  <c:v>966.13247295678593</c:v>
                </c:pt>
                <c:pt idx="187">
                  <c:v>-4402591.0451669917</c:v>
                </c:pt>
                <c:pt idx="188">
                  <c:v>-13950.219715667905</c:v>
                </c:pt>
                <c:pt idx="189">
                  <c:v>1234.4567846196151</c:v>
                </c:pt>
                <c:pt idx="190">
                  <c:v>33393.790298386361</c:v>
                </c:pt>
                <c:pt idx="191">
                  <c:v>-13939.886472551278</c:v>
                </c:pt>
                <c:pt idx="192">
                  <c:v>66901.855795714248</c:v>
                </c:pt>
                <c:pt idx="193">
                  <c:v>1998029.3540625768</c:v>
                </c:pt>
                <c:pt idx="194">
                  <c:v>27298.79706463925</c:v>
                </c:pt>
                <c:pt idx="195">
                  <c:v>-10736.218091767212</c:v>
                </c:pt>
                <c:pt idx="196">
                  <c:v>59916.466528023768</c:v>
                </c:pt>
                <c:pt idx="197">
                  <c:v>431079.52065804682</c:v>
                </c:pt>
                <c:pt idx="198">
                  <c:v>114.13111970621685</c:v>
                </c:pt>
                <c:pt idx="199">
                  <c:v>858390.24695795553</c:v>
                </c:pt>
                <c:pt idx="200">
                  <c:v>-12469.499911361927</c:v>
                </c:pt>
                <c:pt idx="201">
                  <c:v>-16703270.944005799</c:v>
                </c:pt>
                <c:pt idx="202">
                  <c:v>-5672.5451099311904</c:v>
                </c:pt>
                <c:pt idx="203">
                  <c:v>58969.464904123073</c:v>
                </c:pt>
                <c:pt idx="204">
                  <c:v>109709.17388242442</c:v>
                </c:pt>
                <c:pt idx="205">
                  <c:v>71989.798959190055</c:v>
                </c:pt>
                <c:pt idx="206">
                  <c:v>40712.892874780053</c:v>
                </c:pt>
                <c:pt idx="207">
                  <c:v>-51199.320470335544</c:v>
                </c:pt>
                <c:pt idx="208">
                  <c:v>-3947.8640085917141</c:v>
                </c:pt>
                <c:pt idx="209">
                  <c:v>-292979.11335017259</c:v>
                </c:pt>
                <c:pt idx="210">
                  <c:v>55245.150877164619</c:v>
                </c:pt>
                <c:pt idx="211">
                  <c:v>-5987.2170091667504</c:v>
                </c:pt>
                <c:pt idx="212">
                  <c:v>-31641.214302665598</c:v>
                </c:pt>
                <c:pt idx="213">
                  <c:v>1048482.9679698627</c:v>
                </c:pt>
                <c:pt idx="214">
                  <c:v>1774067.143767437</c:v>
                </c:pt>
                <c:pt idx="215">
                  <c:v>184903.63351914485</c:v>
                </c:pt>
                <c:pt idx="216">
                  <c:v>5431690.3663668325</c:v>
                </c:pt>
                <c:pt idx="217">
                  <c:v>77663.803289591888</c:v>
                </c:pt>
                <c:pt idx="218">
                  <c:v>-20126.547816432343</c:v>
                </c:pt>
                <c:pt idx="219">
                  <c:v>-29743.539696928885</c:v>
                </c:pt>
                <c:pt idx="220">
                  <c:v>-7850.8778117475886</c:v>
                </c:pt>
                <c:pt idx="221">
                  <c:v>-11218.842356582492</c:v>
                </c:pt>
                <c:pt idx="222">
                  <c:v>-3670571.9628165327</c:v>
                </c:pt>
                <c:pt idx="223">
                  <c:v>-18595.217821117098</c:v>
                </c:pt>
                <c:pt idx="224">
                  <c:v>22172.461115021462</c:v>
                </c:pt>
                <c:pt idx="225">
                  <c:v>249130.96784486203</c:v>
                </c:pt>
                <c:pt idx="226">
                  <c:v>20164.464092172726</c:v>
                </c:pt>
                <c:pt idx="227">
                  <c:v>10143.483037680795</c:v>
                </c:pt>
                <c:pt idx="228">
                  <c:v>17719.805454792819</c:v>
                </c:pt>
                <c:pt idx="229">
                  <c:v>104026.16576292098</c:v>
                </c:pt>
                <c:pt idx="230">
                  <c:v>5950.7870505849787</c:v>
                </c:pt>
                <c:pt idx="231">
                  <c:v>-22717.216738516639</c:v>
                </c:pt>
                <c:pt idx="232">
                  <c:v>-13852.553229434649</c:v>
                </c:pt>
                <c:pt idx="233">
                  <c:v>934792.63487239543</c:v>
                </c:pt>
                <c:pt idx="234">
                  <c:v>249998.30189992895</c:v>
                </c:pt>
                <c:pt idx="235">
                  <c:v>2396656.1810236797</c:v>
                </c:pt>
                <c:pt idx="236">
                  <c:v>-3800855.2565447325</c:v>
                </c:pt>
                <c:pt idx="237">
                  <c:v>120173.04552144511</c:v>
                </c:pt>
                <c:pt idx="238">
                  <c:v>-1636447.6602818798</c:v>
                </c:pt>
                <c:pt idx="239">
                  <c:v>65098.791651636937</c:v>
                </c:pt>
                <c:pt idx="240">
                  <c:v>617685.89199000504</c:v>
                </c:pt>
                <c:pt idx="241">
                  <c:v>-21755.546463181767</c:v>
                </c:pt>
                <c:pt idx="242">
                  <c:v>2786.8222350999713</c:v>
                </c:pt>
                <c:pt idx="243">
                  <c:v>4387.7875918852078</c:v>
                </c:pt>
                <c:pt idx="244">
                  <c:v>-659875.66481010686</c:v>
                </c:pt>
                <c:pt idx="245">
                  <c:v>420577.19932353526</c:v>
                </c:pt>
                <c:pt idx="246">
                  <c:v>546849.23234284925</c:v>
                </c:pt>
                <c:pt idx="247">
                  <c:v>-825720.94067539903</c:v>
                </c:pt>
                <c:pt idx="248">
                  <c:v>197009.79598203878</c:v>
                </c:pt>
                <c:pt idx="249">
                  <c:v>87055.86770431936</c:v>
                </c:pt>
                <c:pt idx="250">
                  <c:v>2145402.2036539372</c:v>
                </c:pt>
                <c:pt idx="251">
                  <c:v>5842.4584085203096</c:v>
                </c:pt>
                <c:pt idx="252">
                  <c:v>-141100.17722359981</c:v>
                </c:pt>
                <c:pt idx="253">
                  <c:v>3449748.2130234465</c:v>
                </c:pt>
                <c:pt idx="254">
                  <c:v>41721.36198425456</c:v>
                </c:pt>
                <c:pt idx="255">
                  <c:v>7744.4543487685805</c:v>
                </c:pt>
                <c:pt idx="256">
                  <c:v>82094.488991983322</c:v>
                </c:pt>
                <c:pt idx="257">
                  <c:v>100628.79408748797</c:v>
                </c:pt>
                <c:pt idx="258">
                  <c:v>8002.450559666966</c:v>
                </c:pt>
                <c:pt idx="259">
                  <c:v>-1622892.3324517654</c:v>
                </c:pt>
                <c:pt idx="260">
                  <c:v>147.45299551800417</c:v>
                </c:pt>
                <c:pt idx="261">
                  <c:v>187539.4180088283</c:v>
                </c:pt>
                <c:pt idx="262">
                  <c:v>-2597.8759171967831</c:v>
                </c:pt>
                <c:pt idx="263">
                  <c:v>-89316.192921306487</c:v>
                </c:pt>
                <c:pt idx="264">
                  <c:v>-9311.539696928885</c:v>
                </c:pt>
                <c:pt idx="265">
                  <c:v>-19912.214573315716</c:v>
                </c:pt>
                <c:pt idx="266">
                  <c:v>-118194.08276670962</c:v>
                </c:pt>
                <c:pt idx="267">
                  <c:v>-4439.2075364127159</c:v>
                </c:pt>
                <c:pt idx="268">
                  <c:v>17561.892604129913</c:v>
                </c:pt>
                <c:pt idx="269">
                  <c:v>25334.463280222379</c:v>
                </c:pt>
                <c:pt idx="270">
                  <c:v>-147926.50830151551</c:v>
                </c:pt>
                <c:pt idx="271">
                  <c:v>7764.4543487685805</c:v>
                </c:pt>
                <c:pt idx="272">
                  <c:v>-3974.7319313354092</c:v>
                </c:pt>
                <c:pt idx="273">
                  <c:v>-498629.84973696037</c:v>
                </c:pt>
                <c:pt idx="274">
                  <c:v>-170782.69972397177</c:v>
                </c:pt>
                <c:pt idx="275">
                  <c:v>3988485.1507315151</c:v>
                </c:pt>
                <c:pt idx="276">
                  <c:v>-2388528.4007284194</c:v>
                </c:pt>
                <c:pt idx="277">
                  <c:v>-13851.553229434649</c:v>
                </c:pt>
                <c:pt idx="278">
                  <c:v>-81533.863467291478</c:v>
                </c:pt>
                <c:pt idx="279">
                  <c:v>4325.8260242015822</c:v>
                </c:pt>
                <c:pt idx="280">
                  <c:v>-13789.215114615945</c:v>
                </c:pt>
                <c:pt idx="281">
                  <c:v>-16010.551334883843</c:v>
                </c:pt>
                <c:pt idx="282">
                  <c:v>-118108.1839898527</c:v>
                </c:pt>
                <c:pt idx="283">
                  <c:v>-12259.506948264927</c:v>
                </c:pt>
                <c:pt idx="284">
                  <c:v>1888095.2254309468</c:v>
                </c:pt>
                <c:pt idx="285">
                  <c:v>5872.7870505849787</c:v>
                </c:pt>
                <c:pt idx="286">
                  <c:v>-2409038.3936915165</c:v>
                </c:pt>
                <c:pt idx="287">
                  <c:v>-12138.198604958918</c:v>
                </c:pt>
                <c:pt idx="288">
                  <c:v>-136900.11876317492</c:v>
                </c:pt>
                <c:pt idx="289">
                  <c:v>7408.1205643517169</c:v>
                </c:pt>
                <c:pt idx="290">
                  <c:v>44972.123812153106</c:v>
                </c:pt>
                <c:pt idx="291">
                  <c:v>61075.466798673879</c:v>
                </c:pt>
                <c:pt idx="292">
                  <c:v>99147.281330520171</c:v>
                </c:pt>
                <c:pt idx="293">
                  <c:v>87642.824670950999</c:v>
                </c:pt>
                <c:pt idx="294">
                  <c:v>-22714.546463181767</c:v>
                </c:pt>
                <c:pt idx="295">
                  <c:v>38003.813303646166</c:v>
                </c:pt>
                <c:pt idx="296">
                  <c:v>-14363.885931251047</c:v>
                </c:pt>
                <c:pt idx="297">
                  <c:v>-33756.538614328427</c:v>
                </c:pt>
                <c:pt idx="298">
                  <c:v>-5750501.5915573984</c:v>
                </c:pt>
                <c:pt idx="299">
                  <c:v>347600.51605699485</c:v>
                </c:pt>
                <c:pt idx="300">
                  <c:v>-13977.552958784534</c:v>
                </c:pt>
                <c:pt idx="301">
                  <c:v>-20561.213761365369</c:v>
                </c:pt>
                <c:pt idx="302">
                  <c:v>-13205.201852760292</c:v>
                </c:pt>
                <c:pt idx="303">
                  <c:v>206083.79598203878</c:v>
                </c:pt>
                <c:pt idx="304">
                  <c:v>292082.44723904086</c:v>
                </c:pt>
                <c:pt idx="305">
                  <c:v>-15006.885389950818</c:v>
                </c:pt>
                <c:pt idx="306">
                  <c:v>-13891.219715667905</c:v>
                </c:pt>
                <c:pt idx="307">
                  <c:v>-1442954.2275123456</c:v>
                </c:pt>
                <c:pt idx="308">
                  <c:v>205846.817634048</c:v>
                </c:pt>
                <c:pt idx="309">
                  <c:v>1055392.2635513153</c:v>
                </c:pt>
                <c:pt idx="310">
                  <c:v>1157261.007901079</c:v>
                </c:pt>
                <c:pt idx="311">
                  <c:v>18055.125706703911</c:v>
                </c:pt>
                <c:pt idx="312">
                  <c:v>-19326.540508879232</c:v>
                </c:pt>
                <c:pt idx="313">
                  <c:v>-5862.5497109831485</c:v>
                </c:pt>
                <c:pt idx="314">
                  <c:v>-121672.8461456841</c:v>
                </c:pt>
                <c:pt idx="315">
                  <c:v>191439.84090995791</c:v>
                </c:pt>
                <c:pt idx="316">
                  <c:v>4489840.4367358629</c:v>
                </c:pt>
                <c:pt idx="317">
                  <c:v>10462.127059954481</c:v>
                </c:pt>
                <c:pt idx="318">
                  <c:v>140671.89206282969</c:v>
                </c:pt>
                <c:pt idx="319">
                  <c:v>-5881.2018527602922</c:v>
                </c:pt>
                <c:pt idx="320">
                  <c:v>-13942.886472551278</c:v>
                </c:pt>
                <c:pt idx="321">
                  <c:v>-23444.878353047818</c:v>
                </c:pt>
                <c:pt idx="322">
                  <c:v>1018697.3013586288</c:v>
                </c:pt>
                <c:pt idx="323">
                  <c:v>542.45651396950416</c:v>
                </c:pt>
                <c:pt idx="324">
                  <c:v>-42372.107666520169</c:v>
                </c:pt>
                <c:pt idx="325">
                  <c:v>9861318.1993344147</c:v>
                </c:pt>
                <c:pt idx="326">
                  <c:v>-48344.874293296089</c:v>
                </c:pt>
                <c:pt idx="327">
                  <c:v>201554.20257133665</c:v>
                </c:pt>
                <c:pt idx="328">
                  <c:v>65694.285119621782</c:v>
                </c:pt>
                <c:pt idx="329">
                  <c:v>573167.23126024893</c:v>
                </c:pt>
                <c:pt idx="330">
                  <c:v>-1964.5394262787595</c:v>
                </c:pt>
                <c:pt idx="331">
                  <c:v>-139395.50857216562</c:v>
                </c:pt>
                <c:pt idx="332">
                  <c:v>1524.7935461877496</c:v>
                </c:pt>
                <c:pt idx="333">
                  <c:v>1084683.6642276086</c:v>
                </c:pt>
                <c:pt idx="334">
                  <c:v>2288672.7506171716</c:v>
                </c:pt>
                <c:pt idx="335">
                  <c:v>-1330751.0993491914</c:v>
                </c:pt>
                <c:pt idx="336">
                  <c:v>-13756.553229434649</c:v>
                </c:pt>
                <c:pt idx="337">
                  <c:v>-230671.80230036541</c:v>
                </c:pt>
                <c:pt idx="338">
                  <c:v>-181924.15692484117</c:v>
                </c:pt>
                <c:pt idx="339">
                  <c:v>38579.514433094184</c:v>
                </c:pt>
                <c:pt idx="340">
                  <c:v>24954.139509859786</c:v>
                </c:pt>
                <c:pt idx="341">
                  <c:v>10273.456784619615</c:v>
                </c:pt>
                <c:pt idx="342">
                  <c:v>89963.197158334369</c:v>
                </c:pt>
                <c:pt idx="343">
                  <c:v>110219.53121340129</c:v>
                </c:pt>
                <c:pt idx="344">
                  <c:v>-9301.539696928885</c:v>
                </c:pt>
                <c:pt idx="345">
                  <c:v>929406.72364563332</c:v>
                </c:pt>
                <c:pt idx="346">
                  <c:v>-30706.214032015487</c:v>
                </c:pt>
                <c:pt idx="347">
                  <c:v>1595.1151513494151</c:v>
                </c:pt>
                <c:pt idx="348">
                  <c:v>-13852.553229434649</c:v>
                </c:pt>
                <c:pt idx="349">
                  <c:v>37257.793816837861</c:v>
                </c:pt>
                <c:pt idx="350">
                  <c:v>31266.478436628822</c:v>
                </c:pt>
                <c:pt idx="351">
                  <c:v>472019.86349891778</c:v>
                </c:pt>
                <c:pt idx="352">
                  <c:v>-19615.214843965834</c:v>
                </c:pt>
                <c:pt idx="353">
                  <c:v>-485.5356371771486</c:v>
                </c:pt>
                <c:pt idx="354">
                  <c:v>-22123.154488990142</c:v>
                </c:pt>
                <c:pt idx="355">
                  <c:v>-12733.886201901161</c:v>
                </c:pt>
                <c:pt idx="356">
                  <c:v>133945.97190461366</c:v>
                </c:pt>
                <c:pt idx="357">
                  <c:v>-143814.17235189772</c:v>
                </c:pt>
                <c:pt idx="358">
                  <c:v>24733.463550872504</c:v>
                </c:pt>
                <c:pt idx="359">
                  <c:v>-14230.21944501779</c:v>
                </c:pt>
                <c:pt idx="360">
                  <c:v>250835.63568434585</c:v>
                </c:pt>
                <c:pt idx="361">
                  <c:v>-495435.64133637119</c:v>
                </c:pt>
                <c:pt idx="362">
                  <c:v>300472.4981940873</c:v>
                </c:pt>
                <c:pt idx="363">
                  <c:v>37947.127330604606</c:v>
                </c:pt>
                <c:pt idx="364">
                  <c:v>547901.86431086808</c:v>
                </c:pt>
                <c:pt idx="365">
                  <c:v>17132.80572544293</c:v>
                </c:pt>
                <c:pt idx="366">
                  <c:v>-18743.841815282241</c:v>
                </c:pt>
                <c:pt idx="367">
                  <c:v>1125144.0348204412</c:v>
                </c:pt>
                <c:pt idx="368">
                  <c:v>-2424.8748345963177</c:v>
                </c:pt>
                <c:pt idx="369">
                  <c:v>-1627070.663529681</c:v>
                </c:pt>
                <c:pt idx="370">
                  <c:v>27673.810055844777</c:v>
                </c:pt>
                <c:pt idx="371">
                  <c:v>1286961.4284185339</c:v>
                </c:pt>
                <c:pt idx="372">
                  <c:v>-14255.886201901161</c:v>
                </c:pt>
                <c:pt idx="373">
                  <c:v>-1618656.3327224152</c:v>
                </c:pt>
                <c:pt idx="374">
                  <c:v>1626.4500183667333</c:v>
                </c:pt>
                <c:pt idx="375">
                  <c:v>125292.85931416578</c:v>
                </c:pt>
                <c:pt idx="376">
                  <c:v>-17171.550252283381</c:v>
                </c:pt>
                <c:pt idx="377">
                  <c:v>95427.461115021462</c:v>
                </c:pt>
                <c:pt idx="378">
                  <c:v>2914361.4680062747</c:v>
                </c:pt>
                <c:pt idx="379">
                  <c:v>-15640.218362417327</c:v>
                </c:pt>
                <c:pt idx="380">
                  <c:v>192951.0233281356</c:v>
                </c:pt>
                <c:pt idx="381">
                  <c:v>-137346.17289319797</c:v>
                </c:pt>
                <c:pt idx="382">
                  <c:v>-13718.547545782232</c:v>
                </c:pt>
                <c:pt idx="383">
                  <c:v>-927824.57305971789</c:v>
                </c:pt>
                <c:pt idx="384">
                  <c:v>-1635707.9937956464</c:v>
                </c:pt>
                <c:pt idx="385">
                  <c:v>20124.46003242099</c:v>
                </c:pt>
                <c:pt idx="386">
                  <c:v>30981.840098007582</c:v>
                </c:pt>
                <c:pt idx="387">
                  <c:v>-111577.85209998663</c:v>
                </c:pt>
                <c:pt idx="388">
                  <c:v>-3427.5440273307322</c:v>
                </c:pt>
                <c:pt idx="389">
                  <c:v>-88013.861302090561</c:v>
                </c:pt>
                <c:pt idx="390">
                  <c:v>-245601.80121776497</c:v>
                </c:pt>
                <c:pt idx="391">
                  <c:v>-16905.880518248741</c:v>
                </c:pt>
                <c:pt idx="392">
                  <c:v>-12383.531577425427</c:v>
                </c:pt>
                <c:pt idx="393">
                  <c:v>-2396905.0645081513</c:v>
                </c:pt>
                <c:pt idx="394">
                  <c:v>-27650.881600849199</c:v>
                </c:pt>
                <c:pt idx="395">
                  <c:v>15235.131931656564</c:v>
                </c:pt>
                <c:pt idx="396">
                  <c:v>96346.794087487971</c:v>
                </c:pt>
                <c:pt idx="397">
                  <c:v>183758.18849753065</c:v>
                </c:pt>
                <c:pt idx="398">
                  <c:v>-6377.2018527602922</c:v>
                </c:pt>
                <c:pt idx="399">
                  <c:v>46227.157102117286</c:v>
                </c:pt>
                <c:pt idx="400">
                  <c:v>-3883.8404620316869</c:v>
                </c:pt>
                <c:pt idx="401">
                  <c:v>-1616362.0013738498</c:v>
                </c:pt>
                <c:pt idx="402">
                  <c:v>-223128.81780024664</c:v>
                </c:pt>
                <c:pt idx="403">
                  <c:v>412938.94646350283</c:v>
                </c:pt>
                <c:pt idx="404">
                  <c:v>1282551.9470569789</c:v>
                </c:pt>
                <c:pt idx="405">
                  <c:v>1177160.6892730687</c:v>
                </c:pt>
                <c:pt idx="406">
                  <c:v>-31867.214032015487</c:v>
                </c:pt>
                <c:pt idx="407">
                  <c:v>324995.19769963459</c:v>
                </c:pt>
                <c:pt idx="408">
                  <c:v>-42066.034590989002</c:v>
                </c:pt>
                <c:pt idx="409">
                  <c:v>-567149.69593487016</c:v>
                </c:pt>
                <c:pt idx="410">
                  <c:v>-5641.5499816332667</c:v>
                </c:pt>
                <c:pt idx="411">
                  <c:v>-1235157.1326391555</c:v>
                </c:pt>
                <c:pt idx="412">
                  <c:v>-8475.2137613653686</c:v>
                </c:pt>
                <c:pt idx="413">
                  <c:v>1022954.9452352533</c:v>
                </c:pt>
                <c:pt idx="414">
                  <c:v>72947.486556132295</c:v>
                </c:pt>
                <c:pt idx="415">
                  <c:v>-194435.54761860683</c:v>
                </c:pt>
                <c:pt idx="416">
                  <c:v>24340.80599609304</c:v>
                </c:pt>
                <c:pt idx="417">
                  <c:v>-13935.217279816869</c:v>
                </c:pt>
                <c:pt idx="418">
                  <c:v>109313.19715833437</c:v>
                </c:pt>
                <c:pt idx="419">
                  <c:v>-919528.19326478126</c:v>
                </c:pt>
                <c:pt idx="420">
                  <c:v>-3406.2105135639868</c:v>
                </c:pt>
                <c:pt idx="421">
                  <c:v>-12891.552958784534</c:v>
                </c:pt>
                <c:pt idx="422">
                  <c:v>-1258187.4580334187</c:v>
                </c:pt>
                <c:pt idx="423">
                  <c:v>-10997670.134179352</c:v>
                </c:pt>
                <c:pt idx="424">
                  <c:v>-2978.5353665270377</c:v>
                </c:pt>
                <c:pt idx="425">
                  <c:v>1050.4611150214623</c:v>
                </c:pt>
                <c:pt idx="426">
                  <c:v>-258521.13554348203</c:v>
                </c:pt>
                <c:pt idx="427">
                  <c:v>15995.451642267428</c:v>
                </c:pt>
                <c:pt idx="428">
                  <c:v>-18084.216197216407</c:v>
                </c:pt>
                <c:pt idx="429">
                  <c:v>46098.813032996055</c:v>
                </c:pt>
                <c:pt idx="430">
                  <c:v>-4641938.6299168905</c:v>
                </c:pt>
                <c:pt idx="431">
                  <c:v>-1902409.5682608401</c:v>
                </c:pt>
                <c:pt idx="432">
                  <c:v>-11238.217821117098</c:v>
                </c:pt>
                <c:pt idx="433">
                  <c:v>802.79950049027684</c:v>
                </c:pt>
                <c:pt idx="434">
                  <c:v>49266.13030775587</c:v>
                </c:pt>
                <c:pt idx="435">
                  <c:v>14118.793275537639</c:v>
                </c:pt>
                <c:pt idx="436">
                  <c:v>-389.54186212980858</c:v>
                </c:pt>
                <c:pt idx="437">
                  <c:v>-4278735.0873884102</c:v>
                </c:pt>
                <c:pt idx="438">
                  <c:v>135652.47383557688</c:v>
                </c:pt>
                <c:pt idx="439">
                  <c:v>-13606.553229434649</c:v>
                </c:pt>
                <c:pt idx="440">
                  <c:v>24707.47275297642</c:v>
                </c:pt>
                <c:pt idx="441">
                  <c:v>14540.794358138082</c:v>
                </c:pt>
                <c:pt idx="442">
                  <c:v>-257385.80257101555</c:v>
                </c:pt>
                <c:pt idx="443">
                  <c:v>5546.1246241034532</c:v>
                </c:pt>
                <c:pt idx="444">
                  <c:v>-23915.546463181767</c:v>
                </c:pt>
                <c:pt idx="445">
                  <c:v>-14454.552688134418</c:v>
                </c:pt>
                <c:pt idx="446">
                  <c:v>-97191.796346062911</c:v>
                </c:pt>
                <c:pt idx="447">
                  <c:v>3690932.9880707962</c:v>
                </c:pt>
                <c:pt idx="448">
                  <c:v>-8724.4046425214037</c:v>
                </c:pt>
                <c:pt idx="449">
                  <c:v>-23944.212949415021</c:v>
                </c:pt>
                <c:pt idx="450">
                  <c:v>2534.479519229295</c:v>
                </c:pt>
                <c:pt idx="451">
                  <c:v>58697.798417889819</c:v>
                </c:pt>
                <c:pt idx="452">
                  <c:v>86072.80599609304</c:v>
                </c:pt>
                <c:pt idx="453">
                  <c:v>-16186.217821117098</c:v>
                </c:pt>
                <c:pt idx="454">
                  <c:v>58068.809514544555</c:v>
                </c:pt>
                <c:pt idx="455">
                  <c:v>-134475.50911346584</c:v>
                </c:pt>
                <c:pt idx="456">
                  <c:v>1968666.4032480726</c:v>
                </c:pt>
                <c:pt idx="457">
                  <c:v>82137.82548290136</c:v>
                </c:pt>
                <c:pt idx="458">
                  <c:v>2288404.5261960495</c:v>
                </c:pt>
                <c:pt idx="459">
                  <c:v>54094.466528023768</c:v>
                </c:pt>
                <c:pt idx="460">
                  <c:v>460457.33248339198</c:v>
                </c:pt>
                <c:pt idx="461">
                  <c:v>-13785.553229434649</c:v>
                </c:pt>
                <c:pt idx="462">
                  <c:v>153546.34060289548</c:v>
                </c:pt>
                <c:pt idx="463">
                  <c:v>180396.5902151264</c:v>
                </c:pt>
                <c:pt idx="464">
                  <c:v>-1641966.324873562</c:v>
                </c:pt>
                <c:pt idx="465">
                  <c:v>-51570.206724462361</c:v>
                </c:pt>
                <c:pt idx="466">
                  <c:v>745055.94375700178</c:v>
                </c:pt>
                <c:pt idx="467">
                  <c:v>-13941.219715667905</c:v>
                </c:pt>
                <c:pt idx="468">
                  <c:v>398787.07827010914</c:v>
                </c:pt>
                <c:pt idx="469">
                  <c:v>-14873.886201901161</c:v>
                </c:pt>
                <c:pt idx="470">
                  <c:v>76143.470858425615</c:v>
                </c:pt>
                <c:pt idx="471">
                  <c:v>150044.59644007916</c:v>
                </c:pt>
                <c:pt idx="472">
                  <c:v>23732364.151824992</c:v>
                </c:pt>
                <c:pt idx="473">
                  <c:v>-10414.550252283381</c:v>
                </c:pt>
                <c:pt idx="474">
                  <c:v>922.12327085287689</c:v>
                </c:pt>
                <c:pt idx="475">
                  <c:v>-138258.8407326818</c:v>
                </c:pt>
                <c:pt idx="476">
                  <c:v>1740.1205643517169</c:v>
                </c:pt>
                <c:pt idx="477">
                  <c:v>8783.1213763020642</c:v>
                </c:pt>
                <c:pt idx="478">
                  <c:v>1516300.4877746105</c:v>
                </c:pt>
                <c:pt idx="479">
                  <c:v>-1953026.2275123456</c:v>
                </c:pt>
                <c:pt idx="480">
                  <c:v>-2827.5518761840722</c:v>
                </c:pt>
                <c:pt idx="481">
                  <c:v>-1435.8740226459704</c:v>
                </c:pt>
                <c:pt idx="482">
                  <c:v>-13935.886472551278</c:v>
                </c:pt>
                <c:pt idx="483">
                  <c:v>-34486.198063658681</c:v>
                </c:pt>
                <c:pt idx="484">
                  <c:v>85478.501712538768</c:v>
                </c:pt>
                <c:pt idx="485">
                  <c:v>4855.1351794579386</c:v>
                </c:pt>
                <c:pt idx="486">
                  <c:v>-6468874.0147291776</c:v>
                </c:pt>
                <c:pt idx="487">
                  <c:v>7205.7875918852078</c:v>
                </c:pt>
                <c:pt idx="488">
                  <c:v>1489733.5325775314</c:v>
                </c:pt>
                <c:pt idx="489">
                  <c:v>-2482061.7014935222</c:v>
                </c:pt>
                <c:pt idx="490">
                  <c:v>-27535.17451709864</c:v>
                </c:pt>
                <c:pt idx="491">
                  <c:v>-6541.8431685328251</c:v>
                </c:pt>
                <c:pt idx="492">
                  <c:v>11154.82196444986</c:v>
                </c:pt>
                <c:pt idx="493">
                  <c:v>-188132.44720741408</c:v>
                </c:pt>
                <c:pt idx="494">
                  <c:v>-600974.35607114993</c:v>
                </c:pt>
                <c:pt idx="495">
                  <c:v>1880026.4475096909</c:v>
                </c:pt>
                <c:pt idx="496">
                  <c:v>3411227.7679594271</c:v>
                </c:pt>
                <c:pt idx="497">
                  <c:v>-2285.2153852660595</c:v>
                </c:pt>
                <c:pt idx="498">
                  <c:v>-155739.83423707902</c:v>
                </c:pt>
                <c:pt idx="499">
                  <c:v>119587.51849284588</c:v>
                </c:pt>
                <c:pt idx="500">
                  <c:v>15601.142487011064</c:v>
                </c:pt>
                <c:pt idx="501">
                  <c:v>17267.459220470657</c:v>
                </c:pt>
                <c:pt idx="502">
                  <c:v>-25223.215926566292</c:v>
                </c:pt>
                <c:pt idx="503">
                  <c:v>-5836.8778117475886</c:v>
                </c:pt>
                <c:pt idx="504">
                  <c:v>-1220069.8045383911</c:v>
                </c:pt>
                <c:pt idx="505">
                  <c:v>-3096440.8295838507</c:v>
                </c:pt>
                <c:pt idx="506">
                  <c:v>-15408.552688134418</c:v>
                </c:pt>
                <c:pt idx="507">
                  <c:v>4883.7935461877496</c:v>
                </c:pt>
                <c:pt idx="508">
                  <c:v>-149916.84100333191</c:v>
                </c:pt>
                <c:pt idx="509">
                  <c:v>-1362738.75500942</c:v>
                </c:pt>
                <c:pt idx="510">
                  <c:v>-3815.8816008491995</c:v>
                </c:pt>
                <c:pt idx="511">
                  <c:v>-29115.880788898852</c:v>
                </c:pt>
                <c:pt idx="512">
                  <c:v>-15174.218633067445</c:v>
                </c:pt>
                <c:pt idx="513">
                  <c:v>-524829.735449787</c:v>
                </c:pt>
                <c:pt idx="514">
                  <c:v>92026.139780509911</c:v>
                </c:pt>
                <c:pt idx="515">
                  <c:v>-10283.54159147969</c:v>
                </c:pt>
                <c:pt idx="516">
                  <c:v>7202.450559666966</c:v>
                </c:pt>
                <c:pt idx="517">
                  <c:v>-8935.8775410974704</c:v>
                </c:pt>
                <c:pt idx="518">
                  <c:v>59978.798417889819</c:v>
                </c:pt>
                <c:pt idx="519">
                  <c:v>-70899.864008591714</c:v>
                </c:pt>
                <c:pt idx="520">
                  <c:v>-7472.2170091667504</c:v>
                </c:pt>
                <c:pt idx="521">
                  <c:v>-15166.21944501779</c:v>
                </c:pt>
                <c:pt idx="522">
                  <c:v>-1645546.3237909619</c:v>
                </c:pt>
                <c:pt idx="523">
                  <c:v>64721.243439504062</c:v>
                </c:pt>
                <c:pt idx="524">
                  <c:v>222030.22144402005</c:v>
                </c:pt>
                <c:pt idx="525">
                  <c:v>-25.845333733741427</c:v>
                </c:pt>
                <c:pt idx="526">
                  <c:v>9828.4575965699623</c:v>
                </c:pt>
                <c:pt idx="527">
                  <c:v>5948205.2311874237</c:v>
                </c:pt>
                <c:pt idx="528">
                  <c:v>344415.85065336205</c:v>
                </c:pt>
                <c:pt idx="529">
                  <c:v>-23038.545380581301</c:v>
                </c:pt>
                <c:pt idx="530">
                  <c:v>17255.901535583718</c:v>
                </c:pt>
                <c:pt idx="531">
                  <c:v>-3799.2170091667504</c:v>
                </c:pt>
                <c:pt idx="532">
                  <c:v>102640.82521225122</c:v>
                </c:pt>
                <c:pt idx="533">
                  <c:v>95524.166845521424</c:v>
                </c:pt>
                <c:pt idx="534">
                  <c:v>786002.93834399944</c:v>
                </c:pt>
                <c:pt idx="535">
                  <c:v>-9089.857242338825</c:v>
                </c:pt>
                <c:pt idx="536">
                  <c:v>-9347.539696928885</c:v>
                </c:pt>
                <c:pt idx="537">
                  <c:v>-212350.65676342789</c:v>
                </c:pt>
                <c:pt idx="538">
                  <c:v>-43808.542674080156</c:v>
                </c:pt>
                <c:pt idx="539">
                  <c:v>-1147.2180917672122</c:v>
                </c:pt>
                <c:pt idx="540">
                  <c:v>-22185.21700916675</c:v>
                </c:pt>
                <c:pt idx="541">
                  <c:v>-4598186.6448026467</c:v>
                </c:pt>
                <c:pt idx="542">
                  <c:v>-13849.553229434649</c:v>
                </c:pt>
                <c:pt idx="543">
                  <c:v>97802.168198772008</c:v>
                </c:pt>
                <c:pt idx="544">
                  <c:v>5709.1183991508005</c:v>
                </c:pt>
                <c:pt idx="545">
                  <c:v>76656.162515119591</c:v>
                </c:pt>
                <c:pt idx="546">
                  <c:v>-819.54862838269037</c:v>
                </c:pt>
                <c:pt idx="547">
                  <c:v>606185.21711361827</c:v>
                </c:pt>
                <c:pt idx="548">
                  <c:v>-1619788.3335343655</c:v>
                </c:pt>
                <c:pt idx="549">
                  <c:v>-22003.550522933496</c:v>
                </c:pt>
                <c:pt idx="550">
                  <c:v>1873535.6735025374</c:v>
                </c:pt>
                <c:pt idx="551">
                  <c:v>-975493.89006382739</c:v>
                </c:pt>
                <c:pt idx="552">
                  <c:v>28387.868786919804</c:v>
                </c:pt>
                <c:pt idx="553">
                  <c:v>275405.8265655018</c:v>
                </c:pt>
                <c:pt idx="554">
                  <c:v>87336.473835576879</c:v>
                </c:pt>
                <c:pt idx="555">
                  <c:v>-2541.5488990328049</c:v>
                </c:pt>
                <c:pt idx="556">
                  <c:v>397382.41043062508</c:v>
                </c:pt>
                <c:pt idx="557">
                  <c:v>139757.30623033084</c:v>
                </c:pt>
                <c:pt idx="558">
                  <c:v>26340.892604129913</c:v>
                </c:pt>
                <c:pt idx="559">
                  <c:v>1266404.2651436897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96-F043-953F-CD1D51D41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840528"/>
        <c:axId val="1888404048"/>
      </c:scatterChart>
      <c:valAx>
        <c:axId val="165584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8404048"/>
        <c:crosses val="autoZero"/>
        <c:crossBetween val="midCat"/>
      </c:valAx>
      <c:valAx>
        <c:axId val="1888404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584052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'Regression 2'!$E$25:$E$584</c:f>
              <c:numCache>
                <c:formatCode>General</c:formatCode>
                <c:ptCount val="560"/>
                <c:pt idx="0">
                  <c:v>8.9285714285714288E-2</c:v>
                </c:pt>
                <c:pt idx="1">
                  <c:v>0.26785714285714285</c:v>
                </c:pt>
                <c:pt idx="2">
                  <c:v>0.44642857142857145</c:v>
                </c:pt>
                <c:pt idx="3">
                  <c:v>0.625</c:v>
                </c:pt>
                <c:pt idx="4">
                  <c:v>0.8035714285714286</c:v>
                </c:pt>
                <c:pt idx="5">
                  <c:v>0.98214285714285721</c:v>
                </c:pt>
                <c:pt idx="6">
                  <c:v>1.1607142857142856</c:v>
                </c:pt>
                <c:pt idx="7">
                  <c:v>1.3392857142857142</c:v>
                </c:pt>
                <c:pt idx="8">
                  <c:v>1.5178571428571428</c:v>
                </c:pt>
                <c:pt idx="9">
                  <c:v>1.6964285714285714</c:v>
                </c:pt>
                <c:pt idx="10">
                  <c:v>1.875</c:v>
                </c:pt>
                <c:pt idx="11">
                  <c:v>2.0535714285714288</c:v>
                </c:pt>
                <c:pt idx="12">
                  <c:v>2.2321428571428572</c:v>
                </c:pt>
                <c:pt idx="13">
                  <c:v>2.410714285714286</c:v>
                </c:pt>
                <c:pt idx="14">
                  <c:v>2.5892857142857144</c:v>
                </c:pt>
                <c:pt idx="15">
                  <c:v>2.7678571428571432</c:v>
                </c:pt>
                <c:pt idx="16">
                  <c:v>2.9464285714285716</c:v>
                </c:pt>
                <c:pt idx="17">
                  <c:v>3.125</c:v>
                </c:pt>
                <c:pt idx="18">
                  <c:v>3.3035714285714288</c:v>
                </c:pt>
                <c:pt idx="19">
                  <c:v>3.4821428571428572</c:v>
                </c:pt>
                <c:pt idx="20">
                  <c:v>3.660714285714286</c:v>
                </c:pt>
                <c:pt idx="21">
                  <c:v>3.8392857142857144</c:v>
                </c:pt>
                <c:pt idx="22">
                  <c:v>4.0178571428571432</c:v>
                </c:pt>
                <c:pt idx="23">
                  <c:v>4.1964285714285721</c:v>
                </c:pt>
                <c:pt idx="24">
                  <c:v>4.375</c:v>
                </c:pt>
                <c:pt idx="25">
                  <c:v>4.5535714285714288</c:v>
                </c:pt>
                <c:pt idx="26">
                  <c:v>4.7321428571428577</c:v>
                </c:pt>
                <c:pt idx="27">
                  <c:v>4.9107142857142856</c:v>
                </c:pt>
                <c:pt idx="28">
                  <c:v>5.0892857142857144</c:v>
                </c:pt>
                <c:pt idx="29">
                  <c:v>5.2678571428571432</c:v>
                </c:pt>
                <c:pt idx="30">
                  <c:v>5.4464285714285721</c:v>
                </c:pt>
                <c:pt idx="31">
                  <c:v>5.625</c:v>
                </c:pt>
                <c:pt idx="32">
                  <c:v>5.8035714285714288</c:v>
                </c:pt>
                <c:pt idx="33">
                  <c:v>5.9821428571428577</c:v>
                </c:pt>
                <c:pt idx="34">
                  <c:v>6.1607142857142856</c:v>
                </c:pt>
                <c:pt idx="35">
                  <c:v>6.3392857142857144</c:v>
                </c:pt>
                <c:pt idx="36">
                  <c:v>6.5178571428571432</c:v>
                </c:pt>
                <c:pt idx="37">
                  <c:v>6.6964285714285721</c:v>
                </c:pt>
                <c:pt idx="38">
                  <c:v>6.875</c:v>
                </c:pt>
                <c:pt idx="39">
                  <c:v>7.0535714285714288</c:v>
                </c:pt>
                <c:pt idx="40">
                  <c:v>7.2321428571428577</c:v>
                </c:pt>
                <c:pt idx="41">
                  <c:v>7.4107142857142856</c:v>
                </c:pt>
                <c:pt idx="42">
                  <c:v>7.5892857142857144</c:v>
                </c:pt>
                <c:pt idx="43">
                  <c:v>7.7678571428571432</c:v>
                </c:pt>
                <c:pt idx="44">
                  <c:v>7.9464285714285721</c:v>
                </c:pt>
                <c:pt idx="45">
                  <c:v>8.125</c:v>
                </c:pt>
                <c:pt idx="46">
                  <c:v>8.3035714285714288</c:v>
                </c:pt>
                <c:pt idx="47">
                  <c:v>8.4821428571428559</c:v>
                </c:pt>
                <c:pt idx="48">
                  <c:v>8.6607142857142847</c:v>
                </c:pt>
                <c:pt idx="49">
                  <c:v>8.8392857142857135</c:v>
                </c:pt>
                <c:pt idx="50">
                  <c:v>9.0178571428571423</c:v>
                </c:pt>
                <c:pt idx="51">
                  <c:v>9.1964285714285712</c:v>
                </c:pt>
                <c:pt idx="52">
                  <c:v>9.375</c:v>
                </c:pt>
                <c:pt idx="53">
                  <c:v>9.5535714285714288</c:v>
                </c:pt>
                <c:pt idx="54">
                  <c:v>9.7321428571428559</c:v>
                </c:pt>
                <c:pt idx="55">
                  <c:v>9.9107142857142847</c:v>
                </c:pt>
                <c:pt idx="56">
                  <c:v>10.089285714285714</c:v>
                </c:pt>
                <c:pt idx="57">
                  <c:v>10.267857142857142</c:v>
                </c:pt>
                <c:pt idx="58">
                  <c:v>10.446428571428571</c:v>
                </c:pt>
                <c:pt idx="59">
                  <c:v>10.625</c:v>
                </c:pt>
                <c:pt idx="60">
                  <c:v>10.803571428571429</c:v>
                </c:pt>
                <c:pt idx="61">
                  <c:v>10.982142857142856</c:v>
                </c:pt>
                <c:pt idx="62">
                  <c:v>11.160714285714285</c:v>
                </c:pt>
                <c:pt idx="63">
                  <c:v>11.339285714285714</c:v>
                </c:pt>
                <c:pt idx="64">
                  <c:v>11.517857142857142</c:v>
                </c:pt>
                <c:pt idx="65">
                  <c:v>11.696428571428571</c:v>
                </c:pt>
                <c:pt idx="66">
                  <c:v>11.875</c:v>
                </c:pt>
                <c:pt idx="67">
                  <c:v>12.053571428571429</c:v>
                </c:pt>
                <c:pt idx="68">
                  <c:v>12.232142857142856</c:v>
                </c:pt>
                <c:pt idx="69">
                  <c:v>12.410714285714285</c:v>
                </c:pt>
                <c:pt idx="70">
                  <c:v>12.589285714285714</c:v>
                </c:pt>
                <c:pt idx="71">
                  <c:v>12.767857142857142</c:v>
                </c:pt>
                <c:pt idx="72">
                  <c:v>12.946428571428571</c:v>
                </c:pt>
                <c:pt idx="73">
                  <c:v>13.125</c:v>
                </c:pt>
                <c:pt idx="74">
                  <c:v>13.303571428571429</c:v>
                </c:pt>
                <c:pt idx="75">
                  <c:v>13.482142857142856</c:v>
                </c:pt>
                <c:pt idx="76">
                  <c:v>13.660714285714285</c:v>
                </c:pt>
                <c:pt idx="77">
                  <c:v>13.839285714285714</c:v>
                </c:pt>
                <c:pt idx="78">
                  <c:v>14.017857142857142</c:v>
                </c:pt>
                <c:pt idx="79">
                  <c:v>14.196428571428571</c:v>
                </c:pt>
                <c:pt idx="80">
                  <c:v>14.375</c:v>
                </c:pt>
                <c:pt idx="81">
                  <c:v>14.553571428571429</c:v>
                </c:pt>
                <c:pt idx="82">
                  <c:v>14.732142857142856</c:v>
                </c:pt>
                <c:pt idx="83">
                  <c:v>14.910714285714285</c:v>
                </c:pt>
                <c:pt idx="84">
                  <c:v>15.089285714285714</c:v>
                </c:pt>
                <c:pt idx="85">
                  <c:v>15.267857142857142</c:v>
                </c:pt>
                <c:pt idx="86">
                  <c:v>15.446428571428571</c:v>
                </c:pt>
                <c:pt idx="87">
                  <c:v>15.625</c:v>
                </c:pt>
                <c:pt idx="88">
                  <c:v>15.803571428571429</c:v>
                </c:pt>
                <c:pt idx="89">
                  <c:v>15.982142857142856</c:v>
                </c:pt>
                <c:pt idx="90">
                  <c:v>16.160714285714288</c:v>
                </c:pt>
                <c:pt idx="91">
                  <c:v>16.339285714285715</c:v>
                </c:pt>
                <c:pt idx="92">
                  <c:v>16.517857142857146</c:v>
                </c:pt>
                <c:pt idx="93">
                  <c:v>16.696428571428573</c:v>
                </c:pt>
                <c:pt idx="94">
                  <c:v>16.875</c:v>
                </c:pt>
                <c:pt idx="95">
                  <c:v>17.053571428571431</c:v>
                </c:pt>
                <c:pt idx="96">
                  <c:v>17.232142857142858</c:v>
                </c:pt>
                <c:pt idx="97">
                  <c:v>17.410714285714288</c:v>
                </c:pt>
                <c:pt idx="98">
                  <c:v>17.589285714285715</c:v>
                </c:pt>
                <c:pt idx="99">
                  <c:v>17.767857142857146</c:v>
                </c:pt>
                <c:pt idx="100">
                  <c:v>17.946428571428573</c:v>
                </c:pt>
                <c:pt idx="101">
                  <c:v>18.125</c:v>
                </c:pt>
                <c:pt idx="102">
                  <c:v>18.303571428571431</c:v>
                </c:pt>
                <c:pt idx="103">
                  <c:v>18.482142857142858</c:v>
                </c:pt>
                <c:pt idx="104">
                  <c:v>18.660714285714288</c:v>
                </c:pt>
                <c:pt idx="105">
                  <c:v>18.839285714285715</c:v>
                </c:pt>
                <c:pt idx="106">
                  <c:v>19.017857142857146</c:v>
                </c:pt>
                <c:pt idx="107">
                  <c:v>19.196428571428573</c:v>
                </c:pt>
                <c:pt idx="108">
                  <c:v>19.375</c:v>
                </c:pt>
                <c:pt idx="109">
                  <c:v>19.553571428571431</c:v>
                </c:pt>
                <c:pt idx="110">
                  <c:v>19.732142857142858</c:v>
                </c:pt>
                <c:pt idx="111">
                  <c:v>19.910714285714288</c:v>
                </c:pt>
                <c:pt idx="112">
                  <c:v>20.089285714285715</c:v>
                </c:pt>
                <c:pt idx="113">
                  <c:v>20.267857142857146</c:v>
                </c:pt>
                <c:pt idx="114">
                  <c:v>20.446428571428573</c:v>
                </c:pt>
                <c:pt idx="115">
                  <c:v>20.625</c:v>
                </c:pt>
                <c:pt idx="116">
                  <c:v>20.803571428571431</c:v>
                </c:pt>
                <c:pt idx="117">
                  <c:v>20.982142857142858</c:v>
                </c:pt>
                <c:pt idx="118">
                  <c:v>21.160714285714288</c:v>
                </c:pt>
                <c:pt idx="119">
                  <c:v>21.339285714285715</c:v>
                </c:pt>
                <c:pt idx="120">
                  <c:v>21.517857142857146</c:v>
                </c:pt>
                <c:pt idx="121">
                  <c:v>21.696428571428573</c:v>
                </c:pt>
                <c:pt idx="122">
                  <c:v>21.875</c:v>
                </c:pt>
                <c:pt idx="123">
                  <c:v>22.053571428571431</c:v>
                </c:pt>
                <c:pt idx="124">
                  <c:v>22.232142857142858</c:v>
                </c:pt>
                <c:pt idx="125">
                  <c:v>22.410714285714288</c:v>
                </c:pt>
                <c:pt idx="126">
                  <c:v>22.589285714285715</c:v>
                </c:pt>
                <c:pt idx="127">
                  <c:v>22.767857142857146</c:v>
                </c:pt>
                <c:pt idx="128">
                  <c:v>22.946428571428573</c:v>
                </c:pt>
                <c:pt idx="129">
                  <c:v>23.125</c:v>
                </c:pt>
                <c:pt idx="130">
                  <c:v>23.303571428571431</c:v>
                </c:pt>
                <c:pt idx="131">
                  <c:v>23.482142857142858</c:v>
                </c:pt>
                <c:pt idx="132">
                  <c:v>23.660714285714288</c:v>
                </c:pt>
                <c:pt idx="133">
                  <c:v>23.839285714285715</c:v>
                </c:pt>
                <c:pt idx="134">
                  <c:v>24.017857142857146</c:v>
                </c:pt>
                <c:pt idx="135">
                  <c:v>24.196428571428573</c:v>
                </c:pt>
                <c:pt idx="136">
                  <c:v>24.375</c:v>
                </c:pt>
                <c:pt idx="137">
                  <c:v>24.553571428571431</c:v>
                </c:pt>
                <c:pt idx="138">
                  <c:v>24.732142857142858</c:v>
                </c:pt>
                <c:pt idx="139">
                  <c:v>24.910714285714288</c:v>
                </c:pt>
                <c:pt idx="140">
                  <c:v>25.089285714285715</c:v>
                </c:pt>
                <c:pt idx="141">
                  <c:v>25.267857142857146</c:v>
                </c:pt>
                <c:pt idx="142">
                  <c:v>25.446428571428573</c:v>
                </c:pt>
                <c:pt idx="143">
                  <c:v>25.625</c:v>
                </c:pt>
                <c:pt idx="144">
                  <c:v>25.803571428571431</c:v>
                </c:pt>
                <c:pt idx="145">
                  <c:v>25.982142857142858</c:v>
                </c:pt>
                <c:pt idx="146">
                  <c:v>26.160714285714288</c:v>
                </c:pt>
                <c:pt idx="147">
                  <c:v>26.339285714285715</c:v>
                </c:pt>
                <c:pt idx="148">
                  <c:v>26.517857142857146</c:v>
                </c:pt>
                <c:pt idx="149">
                  <c:v>26.696428571428573</c:v>
                </c:pt>
                <c:pt idx="150">
                  <c:v>26.875</c:v>
                </c:pt>
                <c:pt idx="151">
                  <c:v>27.053571428571431</c:v>
                </c:pt>
                <c:pt idx="152">
                  <c:v>27.232142857142858</c:v>
                </c:pt>
                <c:pt idx="153">
                  <c:v>27.410714285714288</c:v>
                </c:pt>
                <c:pt idx="154">
                  <c:v>27.589285714285715</c:v>
                </c:pt>
                <c:pt idx="155">
                  <c:v>27.767857142857146</c:v>
                </c:pt>
                <c:pt idx="156">
                  <c:v>27.946428571428573</c:v>
                </c:pt>
                <c:pt idx="157">
                  <c:v>28.125</c:v>
                </c:pt>
                <c:pt idx="158">
                  <c:v>28.303571428571431</c:v>
                </c:pt>
                <c:pt idx="159">
                  <c:v>28.482142857142858</c:v>
                </c:pt>
                <c:pt idx="160">
                  <c:v>28.660714285714288</c:v>
                </c:pt>
                <c:pt idx="161">
                  <c:v>28.839285714285715</c:v>
                </c:pt>
                <c:pt idx="162">
                  <c:v>29.017857142857146</c:v>
                </c:pt>
                <c:pt idx="163">
                  <c:v>29.196428571428573</c:v>
                </c:pt>
                <c:pt idx="164">
                  <c:v>29.375</c:v>
                </c:pt>
                <c:pt idx="165">
                  <c:v>29.553571428571431</c:v>
                </c:pt>
                <c:pt idx="166">
                  <c:v>29.732142857142858</c:v>
                </c:pt>
                <c:pt idx="167">
                  <c:v>29.910714285714288</c:v>
                </c:pt>
                <c:pt idx="168">
                  <c:v>30.089285714285715</c:v>
                </c:pt>
                <c:pt idx="169">
                  <c:v>30.267857142857146</c:v>
                </c:pt>
                <c:pt idx="170">
                  <c:v>30.446428571428573</c:v>
                </c:pt>
                <c:pt idx="171">
                  <c:v>30.625</c:v>
                </c:pt>
                <c:pt idx="172">
                  <c:v>30.803571428571431</c:v>
                </c:pt>
                <c:pt idx="173">
                  <c:v>30.982142857142858</c:v>
                </c:pt>
                <c:pt idx="174">
                  <c:v>31.160714285714288</c:v>
                </c:pt>
                <c:pt idx="175">
                  <c:v>31.339285714285715</c:v>
                </c:pt>
                <c:pt idx="176">
                  <c:v>31.517857142857146</c:v>
                </c:pt>
                <c:pt idx="177">
                  <c:v>31.696428571428573</c:v>
                </c:pt>
                <c:pt idx="178">
                  <c:v>31.875</c:v>
                </c:pt>
                <c:pt idx="179">
                  <c:v>32.053571428571431</c:v>
                </c:pt>
                <c:pt idx="180">
                  <c:v>32.232142857142861</c:v>
                </c:pt>
                <c:pt idx="181">
                  <c:v>32.410714285714285</c:v>
                </c:pt>
                <c:pt idx="182">
                  <c:v>32.589285714285715</c:v>
                </c:pt>
                <c:pt idx="183">
                  <c:v>32.767857142857146</c:v>
                </c:pt>
                <c:pt idx="184">
                  <c:v>32.946428571428577</c:v>
                </c:pt>
                <c:pt idx="185">
                  <c:v>33.125</c:v>
                </c:pt>
                <c:pt idx="186">
                  <c:v>33.303571428571431</c:v>
                </c:pt>
                <c:pt idx="187">
                  <c:v>33.482142857142861</c:v>
                </c:pt>
                <c:pt idx="188">
                  <c:v>33.660714285714285</c:v>
                </c:pt>
                <c:pt idx="189">
                  <c:v>33.839285714285715</c:v>
                </c:pt>
                <c:pt idx="190">
                  <c:v>34.017857142857146</c:v>
                </c:pt>
                <c:pt idx="191">
                  <c:v>34.196428571428577</c:v>
                </c:pt>
                <c:pt idx="192">
                  <c:v>34.375</c:v>
                </c:pt>
                <c:pt idx="193">
                  <c:v>34.553571428571431</c:v>
                </c:pt>
                <c:pt idx="194">
                  <c:v>34.732142857142861</c:v>
                </c:pt>
                <c:pt idx="195">
                  <c:v>34.910714285714285</c:v>
                </c:pt>
                <c:pt idx="196">
                  <c:v>35.089285714285715</c:v>
                </c:pt>
                <c:pt idx="197">
                  <c:v>35.267857142857146</c:v>
                </c:pt>
                <c:pt idx="198">
                  <c:v>35.446428571428577</c:v>
                </c:pt>
                <c:pt idx="199">
                  <c:v>35.625</c:v>
                </c:pt>
                <c:pt idx="200">
                  <c:v>35.803571428571431</c:v>
                </c:pt>
                <c:pt idx="201">
                  <c:v>35.982142857142861</c:v>
                </c:pt>
                <c:pt idx="202">
                  <c:v>36.160714285714285</c:v>
                </c:pt>
                <c:pt idx="203">
                  <c:v>36.339285714285715</c:v>
                </c:pt>
                <c:pt idx="204">
                  <c:v>36.517857142857146</c:v>
                </c:pt>
                <c:pt idx="205">
                  <c:v>36.696428571428577</c:v>
                </c:pt>
                <c:pt idx="206">
                  <c:v>36.875</c:v>
                </c:pt>
                <c:pt idx="207">
                  <c:v>37.053571428571431</c:v>
                </c:pt>
                <c:pt idx="208">
                  <c:v>37.232142857142861</c:v>
                </c:pt>
                <c:pt idx="209">
                  <c:v>37.410714285714285</c:v>
                </c:pt>
                <c:pt idx="210">
                  <c:v>37.589285714285715</c:v>
                </c:pt>
                <c:pt idx="211">
                  <c:v>37.767857142857146</c:v>
                </c:pt>
                <c:pt idx="212">
                  <c:v>37.946428571428577</c:v>
                </c:pt>
                <c:pt idx="213">
                  <c:v>38.125</c:v>
                </c:pt>
                <c:pt idx="214">
                  <c:v>38.303571428571431</c:v>
                </c:pt>
                <c:pt idx="215">
                  <c:v>38.482142857142861</c:v>
                </c:pt>
                <c:pt idx="216">
                  <c:v>38.660714285714285</c:v>
                </c:pt>
                <c:pt idx="217">
                  <c:v>38.839285714285715</c:v>
                </c:pt>
                <c:pt idx="218">
                  <c:v>39.017857142857146</c:v>
                </c:pt>
                <c:pt idx="219">
                  <c:v>39.196428571428577</c:v>
                </c:pt>
                <c:pt idx="220">
                  <c:v>39.375</c:v>
                </c:pt>
                <c:pt idx="221">
                  <c:v>39.553571428571431</c:v>
                </c:pt>
                <c:pt idx="222">
                  <c:v>39.732142857142861</c:v>
                </c:pt>
                <c:pt idx="223">
                  <c:v>39.910714285714285</c:v>
                </c:pt>
                <c:pt idx="224">
                  <c:v>40.089285714285715</c:v>
                </c:pt>
                <c:pt idx="225">
                  <c:v>40.267857142857146</c:v>
                </c:pt>
                <c:pt idx="226">
                  <c:v>40.446428571428577</c:v>
                </c:pt>
                <c:pt idx="227">
                  <c:v>40.625</c:v>
                </c:pt>
                <c:pt idx="228">
                  <c:v>40.803571428571431</c:v>
                </c:pt>
                <c:pt idx="229">
                  <c:v>40.982142857142861</c:v>
                </c:pt>
                <c:pt idx="230">
                  <c:v>41.160714285714285</c:v>
                </c:pt>
                <c:pt idx="231">
                  <c:v>41.339285714285715</c:v>
                </c:pt>
                <c:pt idx="232">
                  <c:v>41.517857142857146</c:v>
                </c:pt>
                <c:pt idx="233">
                  <c:v>41.696428571428577</c:v>
                </c:pt>
                <c:pt idx="234">
                  <c:v>41.875</c:v>
                </c:pt>
                <c:pt idx="235">
                  <c:v>42.053571428571431</c:v>
                </c:pt>
                <c:pt idx="236">
                  <c:v>42.232142857142861</c:v>
                </c:pt>
                <c:pt idx="237">
                  <c:v>42.410714285714285</c:v>
                </c:pt>
                <c:pt idx="238">
                  <c:v>42.589285714285715</c:v>
                </c:pt>
                <c:pt idx="239">
                  <c:v>42.767857142857146</c:v>
                </c:pt>
                <c:pt idx="240">
                  <c:v>42.946428571428577</c:v>
                </c:pt>
                <c:pt idx="241">
                  <c:v>43.125</c:v>
                </c:pt>
                <c:pt idx="242">
                  <c:v>43.303571428571431</c:v>
                </c:pt>
                <c:pt idx="243">
                  <c:v>43.482142857142861</c:v>
                </c:pt>
                <c:pt idx="244">
                  <c:v>43.660714285714285</c:v>
                </c:pt>
                <c:pt idx="245">
                  <c:v>43.839285714285715</c:v>
                </c:pt>
                <c:pt idx="246">
                  <c:v>44.017857142857146</c:v>
                </c:pt>
                <c:pt idx="247">
                  <c:v>44.196428571428577</c:v>
                </c:pt>
                <c:pt idx="248">
                  <c:v>44.375</c:v>
                </c:pt>
                <c:pt idx="249">
                  <c:v>44.553571428571431</c:v>
                </c:pt>
                <c:pt idx="250">
                  <c:v>44.732142857142861</c:v>
                </c:pt>
                <c:pt idx="251">
                  <c:v>44.910714285714285</c:v>
                </c:pt>
                <c:pt idx="252">
                  <c:v>45.089285714285715</c:v>
                </c:pt>
                <c:pt idx="253">
                  <c:v>45.267857142857146</c:v>
                </c:pt>
                <c:pt idx="254">
                  <c:v>45.446428571428577</c:v>
                </c:pt>
                <c:pt idx="255">
                  <c:v>45.625</c:v>
                </c:pt>
                <c:pt idx="256">
                  <c:v>45.803571428571431</c:v>
                </c:pt>
                <c:pt idx="257">
                  <c:v>45.982142857142861</c:v>
                </c:pt>
                <c:pt idx="258">
                  <c:v>46.160714285714285</c:v>
                </c:pt>
                <c:pt idx="259">
                  <c:v>46.339285714285715</c:v>
                </c:pt>
                <c:pt idx="260">
                  <c:v>46.517857142857146</c:v>
                </c:pt>
                <c:pt idx="261">
                  <c:v>46.696428571428577</c:v>
                </c:pt>
                <c:pt idx="262">
                  <c:v>46.875</c:v>
                </c:pt>
                <c:pt idx="263">
                  <c:v>47.053571428571431</c:v>
                </c:pt>
                <c:pt idx="264">
                  <c:v>47.232142857142861</c:v>
                </c:pt>
                <c:pt idx="265">
                  <c:v>47.410714285714285</c:v>
                </c:pt>
                <c:pt idx="266">
                  <c:v>47.589285714285715</c:v>
                </c:pt>
                <c:pt idx="267">
                  <c:v>47.767857142857146</c:v>
                </c:pt>
                <c:pt idx="268">
                  <c:v>47.946428571428577</c:v>
                </c:pt>
                <c:pt idx="269">
                  <c:v>48.125</c:v>
                </c:pt>
                <c:pt idx="270">
                  <c:v>48.303571428571431</c:v>
                </c:pt>
                <c:pt idx="271">
                  <c:v>48.482142857142861</c:v>
                </c:pt>
                <c:pt idx="272">
                  <c:v>48.660714285714285</c:v>
                </c:pt>
                <c:pt idx="273">
                  <c:v>48.839285714285715</c:v>
                </c:pt>
                <c:pt idx="274">
                  <c:v>49.017857142857146</c:v>
                </c:pt>
                <c:pt idx="275">
                  <c:v>49.196428571428577</c:v>
                </c:pt>
                <c:pt idx="276">
                  <c:v>49.375</c:v>
                </c:pt>
                <c:pt idx="277">
                  <c:v>49.553571428571431</c:v>
                </c:pt>
                <c:pt idx="278">
                  <c:v>49.732142857142861</c:v>
                </c:pt>
                <c:pt idx="279">
                  <c:v>49.910714285714285</c:v>
                </c:pt>
                <c:pt idx="280">
                  <c:v>50.089285714285715</c:v>
                </c:pt>
                <c:pt idx="281">
                  <c:v>50.267857142857146</c:v>
                </c:pt>
                <c:pt idx="282">
                  <c:v>50.446428571428577</c:v>
                </c:pt>
                <c:pt idx="283">
                  <c:v>50.625</c:v>
                </c:pt>
                <c:pt idx="284">
                  <c:v>50.803571428571431</c:v>
                </c:pt>
                <c:pt idx="285">
                  <c:v>50.982142857142861</c:v>
                </c:pt>
                <c:pt idx="286">
                  <c:v>51.160714285714285</c:v>
                </c:pt>
                <c:pt idx="287">
                  <c:v>51.339285714285715</c:v>
                </c:pt>
                <c:pt idx="288">
                  <c:v>51.517857142857146</c:v>
                </c:pt>
                <c:pt idx="289">
                  <c:v>51.696428571428577</c:v>
                </c:pt>
                <c:pt idx="290">
                  <c:v>51.875</c:v>
                </c:pt>
                <c:pt idx="291">
                  <c:v>52.053571428571431</c:v>
                </c:pt>
                <c:pt idx="292">
                  <c:v>52.232142857142861</c:v>
                </c:pt>
                <c:pt idx="293">
                  <c:v>52.410714285714285</c:v>
                </c:pt>
                <c:pt idx="294">
                  <c:v>52.589285714285715</c:v>
                </c:pt>
                <c:pt idx="295">
                  <c:v>52.767857142857146</c:v>
                </c:pt>
                <c:pt idx="296">
                  <c:v>52.946428571428577</c:v>
                </c:pt>
                <c:pt idx="297">
                  <c:v>53.125</c:v>
                </c:pt>
                <c:pt idx="298">
                  <c:v>53.303571428571431</c:v>
                </c:pt>
                <c:pt idx="299">
                  <c:v>53.482142857142861</c:v>
                </c:pt>
                <c:pt idx="300">
                  <c:v>53.660714285714285</c:v>
                </c:pt>
                <c:pt idx="301">
                  <c:v>53.839285714285715</c:v>
                </c:pt>
                <c:pt idx="302">
                  <c:v>54.017857142857146</c:v>
                </c:pt>
                <c:pt idx="303">
                  <c:v>54.196428571428577</c:v>
                </c:pt>
                <c:pt idx="304">
                  <c:v>54.375</c:v>
                </c:pt>
                <c:pt idx="305">
                  <c:v>54.553571428571431</c:v>
                </c:pt>
                <c:pt idx="306">
                  <c:v>54.732142857142861</c:v>
                </c:pt>
                <c:pt idx="307">
                  <c:v>54.910714285714285</c:v>
                </c:pt>
                <c:pt idx="308">
                  <c:v>55.089285714285715</c:v>
                </c:pt>
                <c:pt idx="309">
                  <c:v>55.267857142857146</c:v>
                </c:pt>
                <c:pt idx="310">
                  <c:v>55.446428571428577</c:v>
                </c:pt>
                <c:pt idx="311">
                  <c:v>55.625</c:v>
                </c:pt>
                <c:pt idx="312">
                  <c:v>55.803571428571431</c:v>
                </c:pt>
                <c:pt idx="313">
                  <c:v>55.982142857142861</c:v>
                </c:pt>
                <c:pt idx="314">
                  <c:v>56.160714285714285</c:v>
                </c:pt>
                <c:pt idx="315">
                  <c:v>56.339285714285715</c:v>
                </c:pt>
                <c:pt idx="316">
                  <c:v>56.517857142857146</c:v>
                </c:pt>
                <c:pt idx="317">
                  <c:v>56.696428571428577</c:v>
                </c:pt>
                <c:pt idx="318">
                  <c:v>56.875</c:v>
                </c:pt>
                <c:pt idx="319">
                  <c:v>57.053571428571431</c:v>
                </c:pt>
                <c:pt idx="320">
                  <c:v>57.232142857142861</c:v>
                </c:pt>
                <c:pt idx="321">
                  <c:v>57.410714285714285</c:v>
                </c:pt>
                <c:pt idx="322">
                  <c:v>57.589285714285715</c:v>
                </c:pt>
                <c:pt idx="323">
                  <c:v>57.767857142857146</c:v>
                </c:pt>
                <c:pt idx="324">
                  <c:v>57.946428571428577</c:v>
                </c:pt>
                <c:pt idx="325">
                  <c:v>58.125</c:v>
                </c:pt>
                <c:pt idx="326">
                  <c:v>58.303571428571431</c:v>
                </c:pt>
                <c:pt idx="327">
                  <c:v>58.482142857142861</c:v>
                </c:pt>
                <c:pt idx="328">
                  <c:v>58.660714285714285</c:v>
                </c:pt>
                <c:pt idx="329">
                  <c:v>58.839285714285715</c:v>
                </c:pt>
                <c:pt idx="330">
                  <c:v>59.017857142857146</c:v>
                </c:pt>
                <c:pt idx="331">
                  <c:v>59.196428571428577</c:v>
                </c:pt>
                <c:pt idx="332">
                  <c:v>59.375</c:v>
                </c:pt>
                <c:pt idx="333">
                  <c:v>59.553571428571431</c:v>
                </c:pt>
                <c:pt idx="334">
                  <c:v>59.732142857142861</c:v>
                </c:pt>
                <c:pt idx="335">
                  <c:v>59.910714285714285</c:v>
                </c:pt>
                <c:pt idx="336">
                  <c:v>60.089285714285715</c:v>
                </c:pt>
                <c:pt idx="337">
                  <c:v>60.267857142857146</c:v>
                </c:pt>
                <c:pt idx="338">
                  <c:v>60.446428571428577</c:v>
                </c:pt>
                <c:pt idx="339">
                  <c:v>60.625</c:v>
                </c:pt>
                <c:pt idx="340">
                  <c:v>60.803571428571431</c:v>
                </c:pt>
                <c:pt idx="341">
                  <c:v>60.982142857142861</c:v>
                </c:pt>
                <c:pt idx="342">
                  <c:v>61.160714285714285</c:v>
                </c:pt>
                <c:pt idx="343">
                  <c:v>61.339285714285715</c:v>
                </c:pt>
                <c:pt idx="344">
                  <c:v>61.517857142857146</c:v>
                </c:pt>
                <c:pt idx="345">
                  <c:v>61.696428571428577</c:v>
                </c:pt>
                <c:pt idx="346">
                  <c:v>61.875</c:v>
                </c:pt>
                <c:pt idx="347">
                  <c:v>62.053571428571431</c:v>
                </c:pt>
                <c:pt idx="348">
                  <c:v>62.232142857142861</c:v>
                </c:pt>
                <c:pt idx="349">
                  <c:v>62.410714285714285</c:v>
                </c:pt>
                <c:pt idx="350">
                  <c:v>62.589285714285715</c:v>
                </c:pt>
                <c:pt idx="351">
                  <c:v>62.767857142857146</c:v>
                </c:pt>
                <c:pt idx="352">
                  <c:v>62.946428571428577</c:v>
                </c:pt>
                <c:pt idx="353">
                  <c:v>63.125</c:v>
                </c:pt>
                <c:pt idx="354">
                  <c:v>63.303571428571431</c:v>
                </c:pt>
                <c:pt idx="355">
                  <c:v>63.482142857142861</c:v>
                </c:pt>
                <c:pt idx="356">
                  <c:v>63.660714285714285</c:v>
                </c:pt>
                <c:pt idx="357">
                  <c:v>63.839285714285715</c:v>
                </c:pt>
                <c:pt idx="358">
                  <c:v>64.017857142857139</c:v>
                </c:pt>
                <c:pt idx="359">
                  <c:v>64.196428571428569</c:v>
                </c:pt>
                <c:pt idx="360">
                  <c:v>64.375</c:v>
                </c:pt>
                <c:pt idx="361">
                  <c:v>64.553571428571431</c:v>
                </c:pt>
                <c:pt idx="362">
                  <c:v>64.732142857142847</c:v>
                </c:pt>
                <c:pt idx="363">
                  <c:v>64.910714285714278</c:v>
                </c:pt>
                <c:pt idx="364">
                  <c:v>65.089285714285708</c:v>
                </c:pt>
                <c:pt idx="365">
                  <c:v>65.267857142857139</c:v>
                </c:pt>
                <c:pt idx="366">
                  <c:v>65.446428571428569</c:v>
                </c:pt>
                <c:pt idx="367">
                  <c:v>65.625</c:v>
                </c:pt>
                <c:pt idx="368">
                  <c:v>65.803571428571431</c:v>
                </c:pt>
                <c:pt idx="369">
                  <c:v>65.982142857142847</c:v>
                </c:pt>
                <c:pt idx="370">
                  <c:v>66.160714285714278</c:v>
                </c:pt>
                <c:pt idx="371">
                  <c:v>66.339285714285708</c:v>
                </c:pt>
                <c:pt idx="372">
                  <c:v>66.517857142857139</c:v>
                </c:pt>
                <c:pt idx="373">
                  <c:v>66.696428571428569</c:v>
                </c:pt>
                <c:pt idx="374">
                  <c:v>66.875</c:v>
                </c:pt>
                <c:pt idx="375">
                  <c:v>67.053571428571431</c:v>
                </c:pt>
                <c:pt idx="376">
                  <c:v>67.232142857142847</c:v>
                </c:pt>
                <c:pt idx="377">
                  <c:v>67.410714285714278</c:v>
                </c:pt>
                <c:pt idx="378">
                  <c:v>67.589285714285708</c:v>
                </c:pt>
                <c:pt idx="379">
                  <c:v>67.767857142857139</c:v>
                </c:pt>
                <c:pt idx="380">
                  <c:v>67.946428571428569</c:v>
                </c:pt>
                <c:pt idx="381">
                  <c:v>68.125</c:v>
                </c:pt>
                <c:pt idx="382">
                  <c:v>68.303571428571431</c:v>
                </c:pt>
                <c:pt idx="383">
                  <c:v>68.482142857142847</c:v>
                </c:pt>
                <c:pt idx="384">
                  <c:v>68.660714285714278</c:v>
                </c:pt>
                <c:pt idx="385">
                  <c:v>68.839285714285708</c:v>
                </c:pt>
                <c:pt idx="386">
                  <c:v>69.017857142857139</c:v>
                </c:pt>
                <c:pt idx="387">
                  <c:v>69.196428571428569</c:v>
                </c:pt>
                <c:pt idx="388">
                  <c:v>69.375</c:v>
                </c:pt>
                <c:pt idx="389">
                  <c:v>69.553571428571431</c:v>
                </c:pt>
                <c:pt idx="390">
                  <c:v>69.732142857142847</c:v>
                </c:pt>
                <c:pt idx="391">
                  <c:v>69.910714285714278</c:v>
                </c:pt>
                <c:pt idx="392">
                  <c:v>70.089285714285708</c:v>
                </c:pt>
                <c:pt idx="393">
                  <c:v>70.267857142857139</c:v>
                </c:pt>
                <c:pt idx="394">
                  <c:v>70.446428571428569</c:v>
                </c:pt>
                <c:pt idx="395">
                  <c:v>70.625</c:v>
                </c:pt>
                <c:pt idx="396">
                  <c:v>70.803571428571431</c:v>
                </c:pt>
                <c:pt idx="397">
                  <c:v>70.982142857142847</c:v>
                </c:pt>
                <c:pt idx="398">
                  <c:v>71.160714285714278</c:v>
                </c:pt>
                <c:pt idx="399">
                  <c:v>71.339285714285708</c:v>
                </c:pt>
                <c:pt idx="400">
                  <c:v>71.517857142857139</c:v>
                </c:pt>
                <c:pt idx="401">
                  <c:v>71.696428571428569</c:v>
                </c:pt>
                <c:pt idx="402">
                  <c:v>71.875</c:v>
                </c:pt>
                <c:pt idx="403">
                  <c:v>72.053571428571431</c:v>
                </c:pt>
                <c:pt idx="404">
                  <c:v>72.232142857142847</c:v>
                </c:pt>
                <c:pt idx="405">
                  <c:v>72.410714285714278</c:v>
                </c:pt>
                <c:pt idx="406">
                  <c:v>72.589285714285708</c:v>
                </c:pt>
                <c:pt idx="407">
                  <c:v>72.767857142857139</c:v>
                </c:pt>
                <c:pt idx="408">
                  <c:v>72.946428571428569</c:v>
                </c:pt>
                <c:pt idx="409">
                  <c:v>73.125</c:v>
                </c:pt>
                <c:pt idx="410">
                  <c:v>73.303571428571431</c:v>
                </c:pt>
                <c:pt idx="411">
                  <c:v>73.482142857142847</c:v>
                </c:pt>
                <c:pt idx="412">
                  <c:v>73.660714285714278</c:v>
                </c:pt>
                <c:pt idx="413">
                  <c:v>73.839285714285708</c:v>
                </c:pt>
                <c:pt idx="414">
                  <c:v>74.017857142857139</c:v>
                </c:pt>
                <c:pt idx="415">
                  <c:v>74.196428571428569</c:v>
                </c:pt>
                <c:pt idx="416">
                  <c:v>74.375</c:v>
                </c:pt>
                <c:pt idx="417">
                  <c:v>74.553571428571431</c:v>
                </c:pt>
                <c:pt idx="418">
                  <c:v>74.732142857142847</c:v>
                </c:pt>
                <c:pt idx="419">
                  <c:v>74.910714285714278</c:v>
                </c:pt>
                <c:pt idx="420">
                  <c:v>75.089285714285708</c:v>
                </c:pt>
                <c:pt idx="421">
                  <c:v>75.267857142857139</c:v>
                </c:pt>
                <c:pt idx="422">
                  <c:v>75.446428571428569</c:v>
                </c:pt>
                <c:pt idx="423">
                  <c:v>75.625</c:v>
                </c:pt>
                <c:pt idx="424">
                  <c:v>75.803571428571431</c:v>
                </c:pt>
                <c:pt idx="425">
                  <c:v>75.982142857142847</c:v>
                </c:pt>
                <c:pt idx="426">
                  <c:v>76.160714285714278</c:v>
                </c:pt>
                <c:pt idx="427">
                  <c:v>76.339285714285708</c:v>
                </c:pt>
                <c:pt idx="428">
                  <c:v>76.517857142857139</c:v>
                </c:pt>
                <c:pt idx="429">
                  <c:v>76.696428571428569</c:v>
                </c:pt>
                <c:pt idx="430">
                  <c:v>76.875</c:v>
                </c:pt>
                <c:pt idx="431">
                  <c:v>77.053571428571431</c:v>
                </c:pt>
                <c:pt idx="432">
                  <c:v>77.232142857142847</c:v>
                </c:pt>
                <c:pt idx="433">
                  <c:v>77.410714285714278</c:v>
                </c:pt>
                <c:pt idx="434">
                  <c:v>77.589285714285708</c:v>
                </c:pt>
                <c:pt idx="435">
                  <c:v>77.767857142857139</c:v>
                </c:pt>
                <c:pt idx="436">
                  <c:v>77.946428571428569</c:v>
                </c:pt>
                <c:pt idx="437">
                  <c:v>78.125</c:v>
                </c:pt>
                <c:pt idx="438">
                  <c:v>78.303571428571431</c:v>
                </c:pt>
                <c:pt idx="439">
                  <c:v>78.482142857142847</c:v>
                </c:pt>
                <c:pt idx="440">
                  <c:v>78.660714285714278</c:v>
                </c:pt>
                <c:pt idx="441">
                  <c:v>78.839285714285708</c:v>
                </c:pt>
                <c:pt idx="442">
                  <c:v>79.017857142857139</c:v>
                </c:pt>
                <c:pt idx="443">
                  <c:v>79.196428571428569</c:v>
                </c:pt>
                <c:pt idx="444">
                  <c:v>79.375</c:v>
                </c:pt>
                <c:pt idx="445">
                  <c:v>79.553571428571431</c:v>
                </c:pt>
                <c:pt idx="446">
                  <c:v>79.732142857142847</c:v>
                </c:pt>
                <c:pt idx="447">
                  <c:v>79.910714285714278</c:v>
                </c:pt>
                <c:pt idx="448">
                  <c:v>80.089285714285708</c:v>
                </c:pt>
                <c:pt idx="449">
                  <c:v>80.267857142857139</c:v>
                </c:pt>
                <c:pt idx="450">
                  <c:v>80.446428571428569</c:v>
                </c:pt>
                <c:pt idx="451">
                  <c:v>80.625</c:v>
                </c:pt>
                <c:pt idx="452">
                  <c:v>80.803571428571431</c:v>
                </c:pt>
                <c:pt idx="453">
                  <c:v>80.982142857142847</c:v>
                </c:pt>
                <c:pt idx="454">
                  <c:v>81.160714285714278</c:v>
                </c:pt>
                <c:pt idx="455">
                  <c:v>81.339285714285708</c:v>
                </c:pt>
                <c:pt idx="456">
                  <c:v>81.517857142857139</c:v>
                </c:pt>
                <c:pt idx="457">
                  <c:v>81.696428571428569</c:v>
                </c:pt>
                <c:pt idx="458">
                  <c:v>81.875</c:v>
                </c:pt>
                <c:pt idx="459">
                  <c:v>82.053571428571431</c:v>
                </c:pt>
                <c:pt idx="460">
                  <c:v>82.232142857142847</c:v>
                </c:pt>
                <c:pt idx="461">
                  <c:v>82.410714285714278</c:v>
                </c:pt>
                <c:pt idx="462">
                  <c:v>82.589285714285708</c:v>
                </c:pt>
                <c:pt idx="463">
                  <c:v>82.767857142857139</c:v>
                </c:pt>
                <c:pt idx="464">
                  <c:v>82.946428571428569</c:v>
                </c:pt>
                <c:pt idx="465">
                  <c:v>83.125</c:v>
                </c:pt>
                <c:pt idx="466">
                  <c:v>83.303571428571431</c:v>
                </c:pt>
                <c:pt idx="467">
                  <c:v>83.482142857142847</c:v>
                </c:pt>
                <c:pt idx="468">
                  <c:v>83.660714285714278</c:v>
                </c:pt>
                <c:pt idx="469">
                  <c:v>83.839285714285708</c:v>
                </c:pt>
                <c:pt idx="470">
                  <c:v>84.017857142857139</c:v>
                </c:pt>
                <c:pt idx="471">
                  <c:v>84.196428571428569</c:v>
                </c:pt>
                <c:pt idx="472">
                  <c:v>84.375</c:v>
                </c:pt>
                <c:pt idx="473">
                  <c:v>84.553571428571431</c:v>
                </c:pt>
                <c:pt idx="474">
                  <c:v>84.732142857142847</c:v>
                </c:pt>
                <c:pt idx="475">
                  <c:v>84.910714285714278</c:v>
                </c:pt>
                <c:pt idx="476">
                  <c:v>85.089285714285708</c:v>
                </c:pt>
                <c:pt idx="477">
                  <c:v>85.267857142857139</c:v>
                </c:pt>
                <c:pt idx="478">
                  <c:v>85.446428571428569</c:v>
                </c:pt>
                <c:pt idx="479">
                  <c:v>85.625</c:v>
                </c:pt>
                <c:pt idx="480">
                  <c:v>85.803571428571431</c:v>
                </c:pt>
                <c:pt idx="481">
                  <c:v>85.982142857142847</c:v>
                </c:pt>
                <c:pt idx="482">
                  <c:v>86.160714285714278</c:v>
                </c:pt>
                <c:pt idx="483">
                  <c:v>86.339285714285708</c:v>
                </c:pt>
                <c:pt idx="484">
                  <c:v>86.517857142857139</c:v>
                </c:pt>
                <c:pt idx="485">
                  <c:v>86.696428571428569</c:v>
                </c:pt>
                <c:pt idx="486">
                  <c:v>86.875</c:v>
                </c:pt>
                <c:pt idx="487">
                  <c:v>87.053571428571431</c:v>
                </c:pt>
                <c:pt idx="488">
                  <c:v>87.232142857142847</c:v>
                </c:pt>
                <c:pt idx="489">
                  <c:v>87.410714285714278</c:v>
                </c:pt>
                <c:pt idx="490">
                  <c:v>87.589285714285708</c:v>
                </c:pt>
                <c:pt idx="491">
                  <c:v>87.767857142857139</c:v>
                </c:pt>
                <c:pt idx="492">
                  <c:v>87.946428571428569</c:v>
                </c:pt>
                <c:pt idx="493">
                  <c:v>88.125</c:v>
                </c:pt>
                <c:pt idx="494">
                  <c:v>88.303571428571431</c:v>
                </c:pt>
                <c:pt idx="495">
                  <c:v>88.482142857142847</c:v>
                </c:pt>
                <c:pt idx="496">
                  <c:v>88.660714285714278</c:v>
                </c:pt>
                <c:pt idx="497">
                  <c:v>88.839285714285708</c:v>
                </c:pt>
                <c:pt idx="498">
                  <c:v>89.017857142857139</c:v>
                </c:pt>
                <c:pt idx="499">
                  <c:v>89.196428571428569</c:v>
                </c:pt>
                <c:pt idx="500">
                  <c:v>89.375</c:v>
                </c:pt>
                <c:pt idx="501">
                  <c:v>89.553571428571431</c:v>
                </c:pt>
                <c:pt idx="502">
                  <c:v>89.732142857142847</c:v>
                </c:pt>
                <c:pt idx="503">
                  <c:v>89.910714285714278</c:v>
                </c:pt>
                <c:pt idx="504">
                  <c:v>90.089285714285708</c:v>
                </c:pt>
                <c:pt idx="505">
                  <c:v>90.267857142857139</c:v>
                </c:pt>
                <c:pt idx="506">
                  <c:v>90.446428571428569</c:v>
                </c:pt>
                <c:pt idx="507">
                  <c:v>90.625</c:v>
                </c:pt>
                <c:pt idx="508">
                  <c:v>90.803571428571431</c:v>
                </c:pt>
                <c:pt idx="509">
                  <c:v>90.982142857142847</c:v>
                </c:pt>
                <c:pt idx="510">
                  <c:v>91.160714285714278</c:v>
                </c:pt>
                <c:pt idx="511">
                  <c:v>91.339285714285708</c:v>
                </c:pt>
                <c:pt idx="512">
                  <c:v>91.517857142857139</c:v>
                </c:pt>
                <c:pt idx="513">
                  <c:v>91.696428571428569</c:v>
                </c:pt>
                <c:pt idx="514">
                  <c:v>91.875</c:v>
                </c:pt>
                <c:pt idx="515">
                  <c:v>92.053571428571431</c:v>
                </c:pt>
                <c:pt idx="516">
                  <c:v>92.232142857142847</c:v>
                </c:pt>
                <c:pt idx="517">
                  <c:v>92.410714285714278</c:v>
                </c:pt>
                <c:pt idx="518">
                  <c:v>92.589285714285708</c:v>
                </c:pt>
                <c:pt idx="519">
                  <c:v>92.767857142857139</c:v>
                </c:pt>
                <c:pt idx="520">
                  <c:v>92.946428571428569</c:v>
                </c:pt>
                <c:pt idx="521">
                  <c:v>93.125</c:v>
                </c:pt>
                <c:pt idx="522">
                  <c:v>93.303571428571431</c:v>
                </c:pt>
                <c:pt idx="523">
                  <c:v>93.482142857142847</c:v>
                </c:pt>
                <c:pt idx="524">
                  <c:v>93.660714285714278</c:v>
                </c:pt>
                <c:pt idx="525">
                  <c:v>93.839285714285708</c:v>
                </c:pt>
                <c:pt idx="526">
                  <c:v>94.017857142857139</c:v>
                </c:pt>
                <c:pt idx="527">
                  <c:v>94.196428571428569</c:v>
                </c:pt>
                <c:pt idx="528">
                  <c:v>94.375</c:v>
                </c:pt>
                <c:pt idx="529">
                  <c:v>94.553571428571431</c:v>
                </c:pt>
                <c:pt idx="530">
                  <c:v>94.732142857142847</c:v>
                </c:pt>
                <c:pt idx="531">
                  <c:v>94.910714285714278</c:v>
                </c:pt>
                <c:pt idx="532">
                  <c:v>95.089285714285708</c:v>
                </c:pt>
                <c:pt idx="533">
                  <c:v>95.267857142857139</c:v>
                </c:pt>
                <c:pt idx="534">
                  <c:v>95.446428571428569</c:v>
                </c:pt>
                <c:pt idx="535">
                  <c:v>95.625</c:v>
                </c:pt>
                <c:pt idx="536">
                  <c:v>95.803571428571431</c:v>
                </c:pt>
                <c:pt idx="537">
                  <c:v>95.982142857142847</c:v>
                </c:pt>
                <c:pt idx="538">
                  <c:v>96.160714285714278</c:v>
                </c:pt>
                <c:pt idx="539">
                  <c:v>96.339285714285708</c:v>
                </c:pt>
                <c:pt idx="540">
                  <c:v>96.517857142857139</c:v>
                </c:pt>
                <c:pt idx="541">
                  <c:v>96.696428571428569</c:v>
                </c:pt>
                <c:pt idx="542">
                  <c:v>96.875</c:v>
                </c:pt>
                <c:pt idx="543">
                  <c:v>97.053571428571431</c:v>
                </c:pt>
                <c:pt idx="544">
                  <c:v>97.232142857142847</c:v>
                </c:pt>
                <c:pt idx="545">
                  <c:v>97.410714285714278</c:v>
                </c:pt>
                <c:pt idx="546">
                  <c:v>97.589285714285708</c:v>
                </c:pt>
                <c:pt idx="547">
                  <c:v>97.767857142857139</c:v>
                </c:pt>
                <c:pt idx="548">
                  <c:v>97.946428571428569</c:v>
                </c:pt>
                <c:pt idx="549">
                  <c:v>98.125</c:v>
                </c:pt>
                <c:pt idx="550">
                  <c:v>98.303571428571431</c:v>
                </c:pt>
                <c:pt idx="551">
                  <c:v>98.482142857142847</c:v>
                </c:pt>
                <c:pt idx="552">
                  <c:v>98.660714285714278</c:v>
                </c:pt>
                <c:pt idx="553">
                  <c:v>98.839285714285708</c:v>
                </c:pt>
                <c:pt idx="554">
                  <c:v>99.017857142857139</c:v>
                </c:pt>
                <c:pt idx="555">
                  <c:v>99.196428571428569</c:v>
                </c:pt>
                <c:pt idx="556">
                  <c:v>99.375</c:v>
                </c:pt>
                <c:pt idx="557">
                  <c:v>99.553571428571431</c:v>
                </c:pt>
                <c:pt idx="558">
                  <c:v>99.732142857142847</c:v>
                </c:pt>
                <c:pt idx="559">
                  <c:v>99.910714285714278</c:v>
                </c:pt>
              </c:numCache>
            </c:numRef>
          </c:xVal>
          <c:yVal>
            <c:numRef>
              <c:f>'Regression 2'!$F$25:$F$584</c:f>
              <c:numCache>
                <c:formatCode>General</c:formatCode>
                <c:ptCount val="5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11</c:v>
                </c:pt>
                <c:pt idx="7">
                  <c:v>68</c:v>
                </c:pt>
                <c:pt idx="8">
                  <c:v>69</c:v>
                </c:pt>
                <c:pt idx="9">
                  <c:v>97</c:v>
                </c:pt>
                <c:pt idx="10">
                  <c:v>247</c:v>
                </c:pt>
                <c:pt idx="11">
                  <c:v>260</c:v>
                </c:pt>
                <c:pt idx="12">
                  <c:v>277</c:v>
                </c:pt>
                <c:pt idx="13">
                  <c:v>280</c:v>
                </c:pt>
                <c:pt idx="14">
                  <c:v>284</c:v>
                </c:pt>
                <c:pt idx="15">
                  <c:v>284</c:v>
                </c:pt>
                <c:pt idx="16">
                  <c:v>332</c:v>
                </c:pt>
                <c:pt idx="17">
                  <c:v>354</c:v>
                </c:pt>
                <c:pt idx="18">
                  <c:v>445</c:v>
                </c:pt>
                <c:pt idx="19">
                  <c:v>460</c:v>
                </c:pt>
                <c:pt idx="20">
                  <c:v>519</c:v>
                </c:pt>
                <c:pt idx="21">
                  <c:v>636</c:v>
                </c:pt>
                <c:pt idx="22">
                  <c:v>643</c:v>
                </c:pt>
                <c:pt idx="23">
                  <c:v>645</c:v>
                </c:pt>
                <c:pt idx="24">
                  <c:v>695</c:v>
                </c:pt>
                <c:pt idx="25">
                  <c:v>729</c:v>
                </c:pt>
                <c:pt idx="26">
                  <c:v>809</c:v>
                </c:pt>
                <c:pt idx="27">
                  <c:v>975</c:v>
                </c:pt>
                <c:pt idx="28">
                  <c:v>1063</c:v>
                </c:pt>
                <c:pt idx="29">
                  <c:v>1455</c:v>
                </c:pt>
                <c:pt idx="30">
                  <c:v>1597</c:v>
                </c:pt>
                <c:pt idx="31">
                  <c:v>1816</c:v>
                </c:pt>
                <c:pt idx="32">
                  <c:v>2054</c:v>
                </c:pt>
                <c:pt idx="33">
                  <c:v>2061</c:v>
                </c:pt>
                <c:pt idx="34">
                  <c:v>2069</c:v>
                </c:pt>
                <c:pt idx="35">
                  <c:v>2538</c:v>
                </c:pt>
                <c:pt idx="36">
                  <c:v>2585</c:v>
                </c:pt>
                <c:pt idx="37">
                  <c:v>2840</c:v>
                </c:pt>
                <c:pt idx="38">
                  <c:v>3160</c:v>
                </c:pt>
                <c:pt idx="39">
                  <c:v>3391</c:v>
                </c:pt>
                <c:pt idx="40">
                  <c:v>3465</c:v>
                </c:pt>
                <c:pt idx="41">
                  <c:v>3609</c:v>
                </c:pt>
                <c:pt idx="42">
                  <c:v>3684</c:v>
                </c:pt>
                <c:pt idx="43">
                  <c:v>3808</c:v>
                </c:pt>
                <c:pt idx="44">
                  <c:v>3958</c:v>
                </c:pt>
                <c:pt idx="45">
                  <c:v>4320</c:v>
                </c:pt>
                <c:pt idx="46">
                  <c:v>4441</c:v>
                </c:pt>
                <c:pt idx="47">
                  <c:v>4749</c:v>
                </c:pt>
                <c:pt idx="48">
                  <c:v>4760</c:v>
                </c:pt>
                <c:pt idx="49">
                  <c:v>4865</c:v>
                </c:pt>
                <c:pt idx="50">
                  <c:v>4925</c:v>
                </c:pt>
                <c:pt idx="51">
                  <c:v>5283</c:v>
                </c:pt>
                <c:pt idx="52">
                  <c:v>5536</c:v>
                </c:pt>
                <c:pt idx="53">
                  <c:v>5728</c:v>
                </c:pt>
                <c:pt idx="54">
                  <c:v>5798</c:v>
                </c:pt>
                <c:pt idx="55">
                  <c:v>6093</c:v>
                </c:pt>
                <c:pt idx="56">
                  <c:v>6351</c:v>
                </c:pt>
                <c:pt idx="57">
                  <c:v>6608</c:v>
                </c:pt>
                <c:pt idx="58">
                  <c:v>6736</c:v>
                </c:pt>
                <c:pt idx="59">
                  <c:v>6959</c:v>
                </c:pt>
                <c:pt idx="60">
                  <c:v>8183</c:v>
                </c:pt>
                <c:pt idx="61">
                  <c:v>8771</c:v>
                </c:pt>
                <c:pt idx="62">
                  <c:v>9549</c:v>
                </c:pt>
                <c:pt idx="63">
                  <c:v>9752</c:v>
                </c:pt>
                <c:pt idx="64">
                  <c:v>9831</c:v>
                </c:pt>
                <c:pt idx="65">
                  <c:v>10444</c:v>
                </c:pt>
                <c:pt idx="66">
                  <c:v>10542</c:v>
                </c:pt>
                <c:pt idx="67">
                  <c:v>10716</c:v>
                </c:pt>
                <c:pt idx="68">
                  <c:v>10789</c:v>
                </c:pt>
                <c:pt idx="69">
                  <c:v>11018</c:v>
                </c:pt>
                <c:pt idx="70">
                  <c:v>11041</c:v>
                </c:pt>
                <c:pt idx="71">
                  <c:v>11927</c:v>
                </c:pt>
                <c:pt idx="72">
                  <c:v>12906</c:v>
                </c:pt>
                <c:pt idx="73">
                  <c:v>13262</c:v>
                </c:pt>
                <c:pt idx="74">
                  <c:v>13346</c:v>
                </c:pt>
                <c:pt idx="75">
                  <c:v>14441</c:v>
                </c:pt>
                <c:pt idx="76">
                  <c:v>14753</c:v>
                </c:pt>
                <c:pt idx="77">
                  <c:v>15330</c:v>
                </c:pt>
                <c:pt idx="78">
                  <c:v>15528</c:v>
                </c:pt>
                <c:pt idx="79">
                  <c:v>15555</c:v>
                </c:pt>
                <c:pt idx="80">
                  <c:v>15707</c:v>
                </c:pt>
                <c:pt idx="81">
                  <c:v>15768</c:v>
                </c:pt>
                <c:pt idx="82">
                  <c:v>15927</c:v>
                </c:pt>
                <c:pt idx="83">
                  <c:v>16521</c:v>
                </c:pt>
                <c:pt idx="84">
                  <c:v>17360</c:v>
                </c:pt>
                <c:pt idx="85">
                  <c:v>17413</c:v>
                </c:pt>
                <c:pt idx="86">
                  <c:v>18104</c:v>
                </c:pt>
                <c:pt idx="87">
                  <c:v>18117</c:v>
                </c:pt>
                <c:pt idx="88">
                  <c:v>18203</c:v>
                </c:pt>
                <c:pt idx="89">
                  <c:v>18408</c:v>
                </c:pt>
                <c:pt idx="90">
                  <c:v>18614</c:v>
                </c:pt>
                <c:pt idx="91">
                  <c:v>18776</c:v>
                </c:pt>
                <c:pt idx="92">
                  <c:v>19480</c:v>
                </c:pt>
                <c:pt idx="93">
                  <c:v>19573</c:v>
                </c:pt>
                <c:pt idx="94">
                  <c:v>19589</c:v>
                </c:pt>
                <c:pt idx="95">
                  <c:v>19726</c:v>
                </c:pt>
                <c:pt idx="96">
                  <c:v>20033</c:v>
                </c:pt>
                <c:pt idx="97">
                  <c:v>21299</c:v>
                </c:pt>
                <c:pt idx="98">
                  <c:v>21400</c:v>
                </c:pt>
                <c:pt idx="99">
                  <c:v>21492</c:v>
                </c:pt>
                <c:pt idx="100">
                  <c:v>21777</c:v>
                </c:pt>
                <c:pt idx="101">
                  <c:v>22156</c:v>
                </c:pt>
                <c:pt idx="102">
                  <c:v>22278</c:v>
                </c:pt>
                <c:pt idx="103">
                  <c:v>22409</c:v>
                </c:pt>
                <c:pt idx="104">
                  <c:v>22686</c:v>
                </c:pt>
                <c:pt idx="105">
                  <c:v>23214</c:v>
                </c:pt>
                <c:pt idx="106">
                  <c:v>23745</c:v>
                </c:pt>
                <c:pt idx="107">
                  <c:v>26101</c:v>
                </c:pt>
                <c:pt idx="108">
                  <c:v>27079</c:v>
                </c:pt>
                <c:pt idx="109">
                  <c:v>27521</c:v>
                </c:pt>
                <c:pt idx="110">
                  <c:v>28413</c:v>
                </c:pt>
                <c:pt idx="111">
                  <c:v>28668</c:v>
                </c:pt>
                <c:pt idx="112">
                  <c:v>28896</c:v>
                </c:pt>
                <c:pt idx="113">
                  <c:v>29578</c:v>
                </c:pt>
                <c:pt idx="114">
                  <c:v>29885</c:v>
                </c:pt>
                <c:pt idx="115">
                  <c:v>30186</c:v>
                </c:pt>
                <c:pt idx="116">
                  <c:v>30289</c:v>
                </c:pt>
                <c:pt idx="117">
                  <c:v>30507</c:v>
                </c:pt>
                <c:pt idx="118">
                  <c:v>31717</c:v>
                </c:pt>
                <c:pt idx="119">
                  <c:v>32417</c:v>
                </c:pt>
                <c:pt idx="120">
                  <c:v>34071</c:v>
                </c:pt>
                <c:pt idx="121">
                  <c:v>34537</c:v>
                </c:pt>
                <c:pt idx="122">
                  <c:v>36442</c:v>
                </c:pt>
                <c:pt idx="123">
                  <c:v>37242</c:v>
                </c:pt>
                <c:pt idx="124">
                  <c:v>37645</c:v>
                </c:pt>
                <c:pt idx="125">
                  <c:v>37706</c:v>
                </c:pt>
                <c:pt idx="126">
                  <c:v>38957</c:v>
                </c:pt>
                <c:pt idx="127">
                  <c:v>39060</c:v>
                </c:pt>
                <c:pt idx="128">
                  <c:v>39278</c:v>
                </c:pt>
                <c:pt idx="129">
                  <c:v>39443</c:v>
                </c:pt>
                <c:pt idx="130">
                  <c:v>39576</c:v>
                </c:pt>
                <c:pt idx="131">
                  <c:v>39711</c:v>
                </c:pt>
                <c:pt idx="132">
                  <c:v>41151</c:v>
                </c:pt>
                <c:pt idx="133">
                  <c:v>41537</c:v>
                </c:pt>
                <c:pt idx="134">
                  <c:v>41546</c:v>
                </c:pt>
                <c:pt idx="135">
                  <c:v>41551</c:v>
                </c:pt>
                <c:pt idx="136">
                  <c:v>41834</c:v>
                </c:pt>
                <c:pt idx="137">
                  <c:v>42215</c:v>
                </c:pt>
                <c:pt idx="138">
                  <c:v>43551</c:v>
                </c:pt>
                <c:pt idx="139">
                  <c:v>43702</c:v>
                </c:pt>
                <c:pt idx="140">
                  <c:v>44534</c:v>
                </c:pt>
                <c:pt idx="141">
                  <c:v>46029</c:v>
                </c:pt>
                <c:pt idx="142">
                  <c:v>46180</c:v>
                </c:pt>
                <c:pt idx="143">
                  <c:v>46339</c:v>
                </c:pt>
                <c:pt idx="144">
                  <c:v>47747</c:v>
                </c:pt>
                <c:pt idx="145">
                  <c:v>47792</c:v>
                </c:pt>
                <c:pt idx="146">
                  <c:v>47934</c:v>
                </c:pt>
                <c:pt idx="147">
                  <c:v>48012</c:v>
                </c:pt>
                <c:pt idx="148">
                  <c:v>48361</c:v>
                </c:pt>
                <c:pt idx="149">
                  <c:v>48546</c:v>
                </c:pt>
                <c:pt idx="150">
                  <c:v>48647</c:v>
                </c:pt>
                <c:pt idx="151">
                  <c:v>48935</c:v>
                </c:pt>
                <c:pt idx="152">
                  <c:v>49631</c:v>
                </c:pt>
                <c:pt idx="153">
                  <c:v>49759</c:v>
                </c:pt>
                <c:pt idx="154">
                  <c:v>50202</c:v>
                </c:pt>
                <c:pt idx="155">
                  <c:v>50827</c:v>
                </c:pt>
                <c:pt idx="156">
                  <c:v>51171</c:v>
                </c:pt>
                <c:pt idx="157">
                  <c:v>51465</c:v>
                </c:pt>
                <c:pt idx="158">
                  <c:v>52370</c:v>
                </c:pt>
                <c:pt idx="159">
                  <c:v>52390</c:v>
                </c:pt>
                <c:pt idx="160">
                  <c:v>53610</c:v>
                </c:pt>
                <c:pt idx="161">
                  <c:v>53960</c:v>
                </c:pt>
                <c:pt idx="162">
                  <c:v>54290</c:v>
                </c:pt>
                <c:pt idx="163">
                  <c:v>54483</c:v>
                </c:pt>
                <c:pt idx="164">
                  <c:v>54706</c:v>
                </c:pt>
                <c:pt idx="165">
                  <c:v>54778</c:v>
                </c:pt>
                <c:pt idx="166">
                  <c:v>54874</c:v>
                </c:pt>
                <c:pt idx="167">
                  <c:v>55170</c:v>
                </c:pt>
                <c:pt idx="168">
                  <c:v>55751</c:v>
                </c:pt>
                <c:pt idx="169">
                  <c:v>55793</c:v>
                </c:pt>
                <c:pt idx="170">
                  <c:v>56298</c:v>
                </c:pt>
                <c:pt idx="171">
                  <c:v>56539</c:v>
                </c:pt>
                <c:pt idx="172">
                  <c:v>58515</c:v>
                </c:pt>
                <c:pt idx="173">
                  <c:v>59052</c:v>
                </c:pt>
                <c:pt idx="174">
                  <c:v>59456</c:v>
                </c:pt>
                <c:pt idx="175">
                  <c:v>59492</c:v>
                </c:pt>
                <c:pt idx="176">
                  <c:v>59502</c:v>
                </c:pt>
                <c:pt idx="177">
                  <c:v>59551</c:v>
                </c:pt>
                <c:pt idx="178">
                  <c:v>59602</c:v>
                </c:pt>
                <c:pt idx="179">
                  <c:v>59622</c:v>
                </c:pt>
                <c:pt idx="180">
                  <c:v>61692</c:v>
                </c:pt>
                <c:pt idx="181">
                  <c:v>63097</c:v>
                </c:pt>
                <c:pt idx="182">
                  <c:v>63338</c:v>
                </c:pt>
                <c:pt idx="183">
                  <c:v>64790</c:v>
                </c:pt>
                <c:pt idx="184">
                  <c:v>64825</c:v>
                </c:pt>
                <c:pt idx="185">
                  <c:v>66940</c:v>
                </c:pt>
                <c:pt idx="186">
                  <c:v>66953</c:v>
                </c:pt>
                <c:pt idx="187">
                  <c:v>67144</c:v>
                </c:pt>
                <c:pt idx="188">
                  <c:v>67298</c:v>
                </c:pt>
                <c:pt idx="189">
                  <c:v>67367</c:v>
                </c:pt>
                <c:pt idx="190">
                  <c:v>67642</c:v>
                </c:pt>
                <c:pt idx="191">
                  <c:v>67938</c:v>
                </c:pt>
                <c:pt idx="192">
                  <c:v>68020</c:v>
                </c:pt>
                <c:pt idx="193">
                  <c:v>69172</c:v>
                </c:pt>
                <c:pt idx="194">
                  <c:v>69601</c:v>
                </c:pt>
                <c:pt idx="195">
                  <c:v>69962</c:v>
                </c:pt>
                <c:pt idx="196">
                  <c:v>70295</c:v>
                </c:pt>
                <c:pt idx="197">
                  <c:v>70587</c:v>
                </c:pt>
                <c:pt idx="198">
                  <c:v>70759</c:v>
                </c:pt>
                <c:pt idx="199">
                  <c:v>73151</c:v>
                </c:pt>
                <c:pt idx="200">
                  <c:v>73321</c:v>
                </c:pt>
                <c:pt idx="201">
                  <c:v>73915</c:v>
                </c:pt>
                <c:pt idx="202">
                  <c:v>75188</c:v>
                </c:pt>
                <c:pt idx="203">
                  <c:v>75880</c:v>
                </c:pt>
                <c:pt idx="204">
                  <c:v>76037</c:v>
                </c:pt>
                <c:pt idx="205">
                  <c:v>77358</c:v>
                </c:pt>
                <c:pt idx="206">
                  <c:v>79247</c:v>
                </c:pt>
                <c:pt idx="207">
                  <c:v>79632</c:v>
                </c:pt>
                <c:pt idx="208">
                  <c:v>79850</c:v>
                </c:pt>
                <c:pt idx="209">
                  <c:v>80659</c:v>
                </c:pt>
                <c:pt idx="210">
                  <c:v>80743</c:v>
                </c:pt>
                <c:pt idx="211">
                  <c:v>81239</c:v>
                </c:pt>
                <c:pt idx="212">
                  <c:v>81457</c:v>
                </c:pt>
                <c:pt idx="213">
                  <c:v>81675</c:v>
                </c:pt>
                <c:pt idx="214">
                  <c:v>81730</c:v>
                </c:pt>
                <c:pt idx="215">
                  <c:v>82903</c:v>
                </c:pt>
                <c:pt idx="216">
                  <c:v>83409</c:v>
                </c:pt>
                <c:pt idx="217">
                  <c:v>84803</c:v>
                </c:pt>
                <c:pt idx="218">
                  <c:v>85769</c:v>
                </c:pt>
                <c:pt idx="219">
                  <c:v>86275</c:v>
                </c:pt>
                <c:pt idx="220">
                  <c:v>87263</c:v>
                </c:pt>
                <c:pt idx="221">
                  <c:v>87630</c:v>
                </c:pt>
                <c:pt idx="222">
                  <c:v>87829</c:v>
                </c:pt>
                <c:pt idx="223">
                  <c:v>88170</c:v>
                </c:pt>
                <c:pt idx="224">
                  <c:v>88643</c:v>
                </c:pt>
                <c:pt idx="225">
                  <c:v>89390</c:v>
                </c:pt>
                <c:pt idx="226">
                  <c:v>89547</c:v>
                </c:pt>
                <c:pt idx="227">
                  <c:v>90317</c:v>
                </c:pt>
                <c:pt idx="228">
                  <c:v>92116</c:v>
                </c:pt>
                <c:pt idx="229">
                  <c:v>93216</c:v>
                </c:pt>
                <c:pt idx="230">
                  <c:v>93418</c:v>
                </c:pt>
                <c:pt idx="231">
                  <c:v>94273</c:v>
                </c:pt>
                <c:pt idx="232">
                  <c:v>96409</c:v>
                </c:pt>
                <c:pt idx="233">
                  <c:v>97524</c:v>
                </c:pt>
                <c:pt idx="234">
                  <c:v>97593</c:v>
                </c:pt>
                <c:pt idx="235">
                  <c:v>97854</c:v>
                </c:pt>
                <c:pt idx="236">
                  <c:v>98222</c:v>
                </c:pt>
                <c:pt idx="237">
                  <c:v>99517</c:v>
                </c:pt>
                <c:pt idx="238">
                  <c:v>100954</c:v>
                </c:pt>
                <c:pt idx="239">
                  <c:v>101489</c:v>
                </c:pt>
                <c:pt idx="240">
                  <c:v>102632</c:v>
                </c:pt>
                <c:pt idx="241">
                  <c:v>102995</c:v>
                </c:pt>
                <c:pt idx="242">
                  <c:v>103517</c:v>
                </c:pt>
                <c:pt idx="243">
                  <c:v>104187</c:v>
                </c:pt>
                <c:pt idx="244">
                  <c:v>104354</c:v>
                </c:pt>
                <c:pt idx="245">
                  <c:v>106031</c:v>
                </c:pt>
                <c:pt idx="246">
                  <c:v>106227</c:v>
                </c:pt>
                <c:pt idx="247">
                  <c:v>106725</c:v>
                </c:pt>
                <c:pt idx="248">
                  <c:v>106794</c:v>
                </c:pt>
                <c:pt idx="249">
                  <c:v>106995</c:v>
                </c:pt>
                <c:pt idx="250">
                  <c:v>108216</c:v>
                </c:pt>
                <c:pt idx="251">
                  <c:v>108352</c:v>
                </c:pt>
                <c:pt idx="252">
                  <c:v>110023</c:v>
                </c:pt>
                <c:pt idx="253">
                  <c:v>114803</c:v>
                </c:pt>
                <c:pt idx="254">
                  <c:v>114994</c:v>
                </c:pt>
                <c:pt idx="255">
                  <c:v>121994</c:v>
                </c:pt>
                <c:pt idx="256">
                  <c:v>123822</c:v>
                </c:pt>
                <c:pt idx="257">
                  <c:v>124783</c:v>
                </c:pt>
                <c:pt idx="258">
                  <c:v>125337</c:v>
                </c:pt>
                <c:pt idx="259">
                  <c:v>125843</c:v>
                </c:pt>
                <c:pt idx="260">
                  <c:v>130516</c:v>
                </c:pt>
                <c:pt idx="261">
                  <c:v>131249</c:v>
                </c:pt>
                <c:pt idx="262">
                  <c:v>131624</c:v>
                </c:pt>
                <c:pt idx="263">
                  <c:v>132303</c:v>
                </c:pt>
                <c:pt idx="264">
                  <c:v>133320</c:v>
                </c:pt>
                <c:pt idx="265">
                  <c:v>133343</c:v>
                </c:pt>
                <c:pt idx="266">
                  <c:v>133558</c:v>
                </c:pt>
                <c:pt idx="267">
                  <c:v>134513</c:v>
                </c:pt>
                <c:pt idx="268">
                  <c:v>135025</c:v>
                </c:pt>
                <c:pt idx="269">
                  <c:v>143332</c:v>
                </c:pt>
                <c:pt idx="270">
                  <c:v>143518</c:v>
                </c:pt>
                <c:pt idx="271">
                  <c:v>144065</c:v>
                </c:pt>
                <c:pt idx="272">
                  <c:v>144311</c:v>
                </c:pt>
                <c:pt idx="273">
                  <c:v>144678</c:v>
                </c:pt>
                <c:pt idx="274">
                  <c:v>146456</c:v>
                </c:pt>
                <c:pt idx="275">
                  <c:v>146917</c:v>
                </c:pt>
                <c:pt idx="276">
                  <c:v>147414</c:v>
                </c:pt>
                <c:pt idx="277">
                  <c:v>148175</c:v>
                </c:pt>
                <c:pt idx="278">
                  <c:v>148198</c:v>
                </c:pt>
                <c:pt idx="279">
                  <c:v>149367</c:v>
                </c:pt>
                <c:pt idx="280">
                  <c:v>153514</c:v>
                </c:pt>
                <c:pt idx="281">
                  <c:v>153997</c:v>
                </c:pt>
                <c:pt idx="282">
                  <c:v>155378</c:v>
                </c:pt>
                <c:pt idx="283">
                  <c:v>156211</c:v>
                </c:pt>
                <c:pt idx="284">
                  <c:v>156255</c:v>
                </c:pt>
                <c:pt idx="285">
                  <c:v>157166</c:v>
                </c:pt>
                <c:pt idx="286">
                  <c:v>161470</c:v>
                </c:pt>
                <c:pt idx="287">
                  <c:v>162407</c:v>
                </c:pt>
                <c:pt idx="288">
                  <c:v>163150</c:v>
                </c:pt>
                <c:pt idx="289">
                  <c:v>165080</c:v>
                </c:pt>
                <c:pt idx="290">
                  <c:v>165984</c:v>
                </c:pt>
                <c:pt idx="291">
                  <c:v>166982</c:v>
                </c:pt>
                <c:pt idx="292">
                  <c:v>167528</c:v>
                </c:pt>
                <c:pt idx="293">
                  <c:v>170584</c:v>
                </c:pt>
                <c:pt idx="294">
                  <c:v>171263</c:v>
                </c:pt>
                <c:pt idx="295">
                  <c:v>171264</c:v>
                </c:pt>
                <c:pt idx="296">
                  <c:v>171467</c:v>
                </c:pt>
                <c:pt idx="297">
                  <c:v>173703</c:v>
                </c:pt>
                <c:pt idx="298">
                  <c:v>176811</c:v>
                </c:pt>
                <c:pt idx="299">
                  <c:v>177297</c:v>
                </c:pt>
                <c:pt idx="300">
                  <c:v>181242</c:v>
                </c:pt>
                <c:pt idx="301">
                  <c:v>182138</c:v>
                </c:pt>
                <c:pt idx="302">
                  <c:v>183518</c:v>
                </c:pt>
                <c:pt idx="303">
                  <c:v>184435</c:v>
                </c:pt>
                <c:pt idx="304">
                  <c:v>185665</c:v>
                </c:pt>
                <c:pt idx="305">
                  <c:v>186668</c:v>
                </c:pt>
                <c:pt idx="306">
                  <c:v>187718</c:v>
                </c:pt>
                <c:pt idx="307">
                  <c:v>187808</c:v>
                </c:pt>
                <c:pt idx="308">
                  <c:v>189523</c:v>
                </c:pt>
                <c:pt idx="309">
                  <c:v>191347</c:v>
                </c:pt>
                <c:pt idx="310">
                  <c:v>193664</c:v>
                </c:pt>
                <c:pt idx="311">
                  <c:v>194987</c:v>
                </c:pt>
                <c:pt idx="312">
                  <c:v>197166</c:v>
                </c:pt>
                <c:pt idx="313">
                  <c:v>197575</c:v>
                </c:pt>
                <c:pt idx="314">
                  <c:v>201877</c:v>
                </c:pt>
                <c:pt idx="315">
                  <c:v>204643</c:v>
                </c:pt>
                <c:pt idx="316">
                  <c:v>205064</c:v>
                </c:pt>
                <c:pt idx="317">
                  <c:v>205568</c:v>
                </c:pt>
                <c:pt idx="318">
                  <c:v>209772</c:v>
                </c:pt>
                <c:pt idx="319">
                  <c:v>211090</c:v>
                </c:pt>
                <c:pt idx="320">
                  <c:v>212849</c:v>
                </c:pt>
                <c:pt idx="321">
                  <c:v>216640</c:v>
                </c:pt>
                <c:pt idx="322">
                  <c:v>217887</c:v>
                </c:pt>
                <c:pt idx="323">
                  <c:v>220766</c:v>
                </c:pt>
                <c:pt idx="324">
                  <c:v>220837</c:v>
                </c:pt>
                <c:pt idx="325">
                  <c:v>221127</c:v>
                </c:pt>
                <c:pt idx="326">
                  <c:v>221329</c:v>
                </c:pt>
                <c:pt idx="327">
                  <c:v>221400</c:v>
                </c:pt>
                <c:pt idx="328">
                  <c:v>227452</c:v>
                </c:pt>
                <c:pt idx="329">
                  <c:v>227745</c:v>
                </c:pt>
                <c:pt idx="330">
                  <c:v>237386</c:v>
                </c:pt>
                <c:pt idx="331">
                  <c:v>246311</c:v>
                </c:pt>
                <c:pt idx="332">
                  <c:v>248354</c:v>
                </c:pt>
                <c:pt idx="333">
                  <c:v>248703</c:v>
                </c:pt>
                <c:pt idx="334">
                  <c:v>254425</c:v>
                </c:pt>
                <c:pt idx="335">
                  <c:v>257322</c:v>
                </c:pt>
                <c:pt idx="336">
                  <c:v>259406</c:v>
                </c:pt>
                <c:pt idx="337">
                  <c:v>267392</c:v>
                </c:pt>
                <c:pt idx="338">
                  <c:v>275338</c:v>
                </c:pt>
                <c:pt idx="339">
                  <c:v>277893</c:v>
                </c:pt>
                <c:pt idx="340">
                  <c:v>280257</c:v>
                </c:pt>
                <c:pt idx="341">
                  <c:v>281284</c:v>
                </c:pt>
                <c:pt idx="342">
                  <c:v>282465</c:v>
                </c:pt>
                <c:pt idx="343">
                  <c:v>282995</c:v>
                </c:pt>
                <c:pt idx="344">
                  <c:v>284412</c:v>
                </c:pt>
                <c:pt idx="345">
                  <c:v>287613</c:v>
                </c:pt>
                <c:pt idx="346">
                  <c:v>288447</c:v>
                </c:pt>
                <c:pt idx="347">
                  <c:v>289795</c:v>
                </c:pt>
                <c:pt idx="348">
                  <c:v>299661</c:v>
                </c:pt>
                <c:pt idx="349">
                  <c:v>300469</c:v>
                </c:pt>
                <c:pt idx="350">
                  <c:v>320696</c:v>
                </c:pt>
                <c:pt idx="351">
                  <c:v>321934</c:v>
                </c:pt>
                <c:pt idx="352">
                  <c:v>322429</c:v>
                </c:pt>
                <c:pt idx="353">
                  <c:v>326247</c:v>
                </c:pt>
                <c:pt idx="354">
                  <c:v>327183</c:v>
                </c:pt>
                <c:pt idx="355">
                  <c:v>330353</c:v>
                </c:pt>
                <c:pt idx="356">
                  <c:v>334020</c:v>
                </c:pt>
                <c:pt idx="357">
                  <c:v>359037</c:v>
                </c:pt>
                <c:pt idx="358">
                  <c:v>369006</c:v>
                </c:pt>
                <c:pt idx="359">
                  <c:v>372095</c:v>
                </c:pt>
                <c:pt idx="360">
                  <c:v>377674</c:v>
                </c:pt>
                <c:pt idx="361">
                  <c:v>388109</c:v>
                </c:pt>
                <c:pt idx="362">
                  <c:v>398439</c:v>
                </c:pt>
                <c:pt idx="363">
                  <c:v>402347</c:v>
                </c:pt>
                <c:pt idx="364">
                  <c:v>424676</c:v>
                </c:pt>
                <c:pt idx="365">
                  <c:v>427200</c:v>
                </c:pt>
                <c:pt idx="366">
                  <c:v>443774</c:v>
                </c:pt>
                <c:pt idx="367">
                  <c:v>452202</c:v>
                </c:pt>
                <c:pt idx="368">
                  <c:v>452486</c:v>
                </c:pt>
                <c:pt idx="369">
                  <c:v>456619</c:v>
                </c:pt>
                <c:pt idx="370">
                  <c:v>460787</c:v>
                </c:pt>
                <c:pt idx="371">
                  <c:v>463124</c:v>
                </c:pt>
                <c:pt idx="372">
                  <c:v>465849</c:v>
                </c:pt>
                <c:pt idx="373">
                  <c:v>466961</c:v>
                </c:pt>
                <c:pt idx="374">
                  <c:v>477921</c:v>
                </c:pt>
                <c:pt idx="375">
                  <c:v>480382</c:v>
                </c:pt>
                <c:pt idx="376">
                  <c:v>486542</c:v>
                </c:pt>
                <c:pt idx="377">
                  <c:v>488233</c:v>
                </c:pt>
                <c:pt idx="378">
                  <c:v>495749</c:v>
                </c:pt>
                <c:pt idx="379">
                  <c:v>497012</c:v>
                </c:pt>
                <c:pt idx="380">
                  <c:v>502401</c:v>
                </c:pt>
                <c:pt idx="381">
                  <c:v>508517</c:v>
                </c:pt>
                <c:pt idx="382">
                  <c:v>512483</c:v>
                </c:pt>
                <c:pt idx="383">
                  <c:v>523136</c:v>
                </c:pt>
                <c:pt idx="384">
                  <c:v>524194</c:v>
                </c:pt>
                <c:pt idx="385">
                  <c:v>526125</c:v>
                </c:pt>
                <c:pt idx="386">
                  <c:v>538830</c:v>
                </c:pt>
                <c:pt idx="387">
                  <c:v>548582</c:v>
                </c:pt>
                <c:pt idx="388">
                  <c:v>552907</c:v>
                </c:pt>
                <c:pt idx="389">
                  <c:v>555995</c:v>
                </c:pt>
                <c:pt idx="390">
                  <c:v>563175</c:v>
                </c:pt>
                <c:pt idx="391">
                  <c:v>577345</c:v>
                </c:pt>
                <c:pt idx="392">
                  <c:v>578774</c:v>
                </c:pt>
                <c:pt idx="393">
                  <c:v>589126</c:v>
                </c:pt>
                <c:pt idx="394">
                  <c:v>599726</c:v>
                </c:pt>
                <c:pt idx="395">
                  <c:v>601747</c:v>
                </c:pt>
                <c:pt idx="396">
                  <c:v>606461</c:v>
                </c:pt>
                <c:pt idx="397">
                  <c:v>608480</c:v>
                </c:pt>
                <c:pt idx="398">
                  <c:v>609145</c:v>
                </c:pt>
                <c:pt idx="399">
                  <c:v>637774</c:v>
                </c:pt>
                <c:pt idx="400">
                  <c:v>638352</c:v>
                </c:pt>
                <c:pt idx="401">
                  <c:v>639688</c:v>
                </c:pt>
                <c:pt idx="402">
                  <c:v>640980</c:v>
                </c:pt>
                <c:pt idx="403">
                  <c:v>642798</c:v>
                </c:pt>
                <c:pt idx="404">
                  <c:v>643397</c:v>
                </c:pt>
                <c:pt idx="405">
                  <c:v>644117</c:v>
                </c:pt>
                <c:pt idx="406">
                  <c:v>644742</c:v>
                </c:pt>
                <c:pt idx="407">
                  <c:v>645960</c:v>
                </c:pt>
                <c:pt idx="408">
                  <c:v>646971</c:v>
                </c:pt>
                <c:pt idx="409">
                  <c:v>649741</c:v>
                </c:pt>
                <c:pt idx="410">
                  <c:v>649771</c:v>
                </c:pt>
                <c:pt idx="411">
                  <c:v>649778</c:v>
                </c:pt>
                <c:pt idx="412">
                  <c:v>650180</c:v>
                </c:pt>
                <c:pt idx="413">
                  <c:v>650317</c:v>
                </c:pt>
                <c:pt idx="414">
                  <c:v>652678</c:v>
                </c:pt>
                <c:pt idx="415">
                  <c:v>653494</c:v>
                </c:pt>
                <c:pt idx="416">
                  <c:v>675371</c:v>
                </c:pt>
                <c:pt idx="417">
                  <c:v>681004</c:v>
                </c:pt>
                <c:pt idx="418">
                  <c:v>685838</c:v>
                </c:pt>
                <c:pt idx="419">
                  <c:v>724236</c:v>
                </c:pt>
                <c:pt idx="420">
                  <c:v>744960</c:v>
                </c:pt>
                <c:pt idx="421">
                  <c:v>757469</c:v>
                </c:pt>
                <c:pt idx="422">
                  <c:v>763826</c:v>
                </c:pt>
                <c:pt idx="423">
                  <c:v>771645</c:v>
                </c:pt>
                <c:pt idx="424">
                  <c:v>776680</c:v>
                </c:pt>
                <c:pt idx="425">
                  <c:v>776720</c:v>
                </c:pt>
                <c:pt idx="426">
                  <c:v>776930</c:v>
                </c:pt>
                <c:pt idx="427">
                  <c:v>783180</c:v>
                </c:pt>
                <c:pt idx="428">
                  <c:v>784901</c:v>
                </c:pt>
                <c:pt idx="429">
                  <c:v>792413</c:v>
                </c:pt>
                <c:pt idx="430">
                  <c:v>794747</c:v>
                </c:pt>
                <c:pt idx="431">
                  <c:v>806803</c:v>
                </c:pt>
                <c:pt idx="432">
                  <c:v>907794</c:v>
                </c:pt>
                <c:pt idx="433">
                  <c:v>926624</c:v>
                </c:pt>
                <c:pt idx="434">
                  <c:v>936465</c:v>
                </c:pt>
                <c:pt idx="435">
                  <c:v>950949</c:v>
                </c:pt>
                <c:pt idx="436">
                  <c:v>951631</c:v>
                </c:pt>
                <c:pt idx="437">
                  <c:v>954977</c:v>
                </c:pt>
                <c:pt idx="438">
                  <c:v>957067</c:v>
                </c:pt>
                <c:pt idx="439">
                  <c:v>959695</c:v>
                </c:pt>
                <c:pt idx="440">
                  <c:v>990344</c:v>
                </c:pt>
                <c:pt idx="441">
                  <c:v>1018289</c:v>
                </c:pt>
                <c:pt idx="442">
                  <c:v>1025324</c:v>
                </c:pt>
                <c:pt idx="443">
                  <c:v>1025953</c:v>
                </c:pt>
                <c:pt idx="444">
                  <c:v>1029122</c:v>
                </c:pt>
                <c:pt idx="445">
                  <c:v>1031791</c:v>
                </c:pt>
                <c:pt idx="446">
                  <c:v>1043530</c:v>
                </c:pt>
                <c:pt idx="447">
                  <c:v>1064823</c:v>
                </c:pt>
                <c:pt idx="448">
                  <c:v>1065452</c:v>
                </c:pt>
                <c:pt idx="449">
                  <c:v>1089827</c:v>
                </c:pt>
                <c:pt idx="450">
                  <c:v>1101225</c:v>
                </c:pt>
                <c:pt idx="451">
                  <c:v>1102311</c:v>
                </c:pt>
                <c:pt idx="452">
                  <c:v>1121298</c:v>
                </c:pt>
                <c:pt idx="453">
                  <c:v>1154903</c:v>
                </c:pt>
                <c:pt idx="454">
                  <c:v>1174983</c:v>
                </c:pt>
                <c:pt idx="455">
                  <c:v>1175396</c:v>
                </c:pt>
                <c:pt idx="456">
                  <c:v>1185651</c:v>
                </c:pt>
                <c:pt idx="457">
                  <c:v>1190775</c:v>
                </c:pt>
                <c:pt idx="458">
                  <c:v>1194439</c:v>
                </c:pt>
                <c:pt idx="459">
                  <c:v>1195732</c:v>
                </c:pt>
                <c:pt idx="460">
                  <c:v>1209373</c:v>
                </c:pt>
                <c:pt idx="461">
                  <c:v>1211779</c:v>
                </c:pt>
                <c:pt idx="462">
                  <c:v>1296931</c:v>
                </c:pt>
                <c:pt idx="463">
                  <c:v>1363768</c:v>
                </c:pt>
                <c:pt idx="464">
                  <c:v>1414417</c:v>
                </c:pt>
                <c:pt idx="465">
                  <c:v>1423438</c:v>
                </c:pt>
                <c:pt idx="466">
                  <c:v>1423472</c:v>
                </c:pt>
                <c:pt idx="467">
                  <c:v>1438134</c:v>
                </c:pt>
                <c:pt idx="468">
                  <c:v>1442405</c:v>
                </c:pt>
                <c:pt idx="469">
                  <c:v>1447769</c:v>
                </c:pt>
                <c:pt idx="470">
                  <c:v>1478306</c:v>
                </c:pt>
                <c:pt idx="471">
                  <c:v>1531835</c:v>
                </c:pt>
                <c:pt idx="472">
                  <c:v>1577071</c:v>
                </c:pt>
                <c:pt idx="473">
                  <c:v>1609764</c:v>
                </c:pt>
                <c:pt idx="474">
                  <c:v>1617205</c:v>
                </c:pt>
                <c:pt idx="475">
                  <c:v>1623372</c:v>
                </c:pt>
                <c:pt idx="476">
                  <c:v>1645255</c:v>
                </c:pt>
                <c:pt idx="477">
                  <c:v>1647552</c:v>
                </c:pt>
                <c:pt idx="478">
                  <c:v>1649468</c:v>
                </c:pt>
                <c:pt idx="479">
                  <c:v>1661369</c:v>
                </c:pt>
                <c:pt idx="480">
                  <c:v>1681141</c:v>
                </c:pt>
                <c:pt idx="481">
                  <c:v>1687301</c:v>
                </c:pt>
                <c:pt idx="482">
                  <c:v>1712451</c:v>
                </c:pt>
                <c:pt idx="483">
                  <c:v>1734889</c:v>
                </c:pt>
                <c:pt idx="484">
                  <c:v>1795623</c:v>
                </c:pt>
                <c:pt idx="485">
                  <c:v>1811479</c:v>
                </c:pt>
                <c:pt idx="486">
                  <c:v>1828172</c:v>
                </c:pt>
                <c:pt idx="487">
                  <c:v>1867713</c:v>
                </c:pt>
                <c:pt idx="488">
                  <c:v>1976054</c:v>
                </c:pt>
                <c:pt idx="489">
                  <c:v>2027986</c:v>
                </c:pt>
                <c:pt idx="490">
                  <c:v>2067537</c:v>
                </c:pt>
                <c:pt idx="491">
                  <c:v>2088155</c:v>
                </c:pt>
                <c:pt idx="492">
                  <c:v>2090493</c:v>
                </c:pt>
                <c:pt idx="493">
                  <c:v>2096106</c:v>
                </c:pt>
                <c:pt idx="494">
                  <c:v>2175718</c:v>
                </c:pt>
                <c:pt idx="495">
                  <c:v>2228902</c:v>
                </c:pt>
                <c:pt idx="496">
                  <c:v>2276323</c:v>
                </c:pt>
                <c:pt idx="497">
                  <c:v>2308621</c:v>
                </c:pt>
                <c:pt idx="498">
                  <c:v>2312929</c:v>
                </c:pt>
                <c:pt idx="499">
                  <c:v>2351742</c:v>
                </c:pt>
                <c:pt idx="500">
                  <c:v>2394557</c:v>
                </c:pt>
                <c:pt idx="501">
                  <c:v>2419734</c:v>
                </c:pt>
                <c:pt idx="502">
                  <c:v>2439394</c:v>
                </c:pt>
                <c:pt idx="503">
                  <c:v>2499263</c:v>
                </c:pt>
                <c:pt idx="504">
                  <c:v>2505812</c:v>
                </c:pt>
                <c:pt idx="505">
                  <c:v>2525589</c:v>
                </c:pt>
                <c:pt idx="506">
                  <c:v>2600565</c:v>
                </c:pt>
                <c:pt idx="507">
                  <c:v>2920520</c:v>
                </c:pt>
                <c:pt idx="508">
                  <c:v>2967735</c:v>
                </c:pt>
                <c:pt idx="509">
                  <c:v>3250412</c:v>
                </c:pt>
                <c:pt idx="510">
                  <c:v>3264610</c:v>
                </c:pt>
                <c:pt idx="511">
                  <c:v>3282275</c:v>
                </c:pt>
                <c:pt idx="512">
                  <c:v>3366238</c:v>
                </c:pt>
                <c:pt idx="513">
                  <c:v>3394400</c:v>
                </c:pt>
                <c:pt idx="514">
                  <c:v>3531568</c:v>
                </c:pt>
                <c:pt idx="515">
                  <c:v>3610747</c:v>
                </c:pt>
                <c:pt idx="516">
                  <c:v>4081449</c:v>
                </c:pt>
                <c:pt idx="517">
                  <c:v>4161586</c:v>
                </c:pt>
                <c:pt idx="518">
                  <c:v>4253082</c:v>
                </c:pt>
                <c:pt idx="519">
                  <c:v>4342495</c:v>
                </c:pt>
                <c:pt idx="520">
                  <c:v>4356040</c:v>
                </c:pt>
                <c:pt idx="521">
                  <c:v>4358396</c:v>
                </c:pt>
                <c:pt idx="522">
                  <c:v>4414401</c:v>
                </c:pt>
                <c:pt idx="523">
                  <c:v>4532245</c:v>
                </c:pt>
                <c:pt idx="524">
                  <c:v>4540561</c:v>
                </c:pt>
                <c:pt idx="525">
                  <c:v>4688603</c:v>
                </c:pt>
                <c:pt idx="526">
                  <c:v>4880359</c:v>
                </c:pt>
                <c:pt idx="527">
                  <c:v>5063771</c:v>
                </c:pt>
                <c:pt idx="528">
                  <c:v>5082340</c:v>
                </c:pt>
                <c:pt idx="529">
                  <c:v>5097032</c:v>
                </c:pt>
                <c:pt idx="530">
                  <c:v>5115931</c:v>
                </c:pt>
                <c:pt idx="531">
                  <c:v>5175160</c:v>
                </c:pt>
                <c:pt idx="532">
                  <c:v>5286887</c:v>
                </c:pt>
                <c:pt idx="533">
                  <c:v>5329960</c:v>
                </c:pt>
                <c:pt idx="534">
                  <c:v>5331834</c:v>
                </c:pt>
                <c:pt idx="535">
                  <c:v>5434641</c:v>
                </c:pt>
                <c:pt idx="536">
                  <c:v>5721506</c:v>
                </c:pt>
                <c:pt idx="537">
                  <c:v>5866385</c:v>
                </c:pt>
                <c:pt idx="538">
                  <c:v>5901671</c:v>
                </c:pt>
                <c:pt idx="539">
                  <c:v>5902786</c:v>
                </c:pt>
                <c:pt idx="540">
                  <c:v>5956868</c:v>
                </c:pt>
                <c:pt idx="541">
                  <c:v>6034926</c:v>
                </c:pt>
                <c:pt idx="542">
                  <c:v>6082829</c:v>
                </c:pt>
                <c:pt idx="543">
                  <c:v>6087352</c:v>
                </c:pt>
                <c:pt idx="544">
                  <c:v>6628695</c:v>
                </c:pt>
                <c:pt idx="545">
                  <c:v>6860837</c:v>
                </c:pt>
                <c:pt idx="546">
                  <c:v>6896574</c:v>
                </c:pt>
                <c:pt idx="547">
                  <c:v>7793725</c:v>
                </c:pt>
                <c:pt idx="548">
                  <c:v>9877070</c:v>
                </c:pt>
                <c:pt idx="549">
                  <c:v>10303977</c:v>
                </c:pt>
                <c:pt idx="550">
                  <c:v>10533180</c:v>
                </c:pt>
                <c:pt idx="551">
                  <c:v>10806135</c:v>
                </c:pt>
                <c:pt idx="552">
                  <c:v>15214105</c:v>
                </c:pt>
                <c:pt idx="553">
                  <c:v>16740852</c:v>
                </c:pt>
                <c:pt idx="554">
                  <c:v>19292554</c:v>
                </c:pt>
                <c:pt idx="555">
                  <c:v>25112803</c:v>
                </c:pt>
                <c:pt idx="556">
                  <c:v>30938595</c:v>
                </c:pt>
                <c:pt idx="557">
                  <c:v>32941809</c:v>
                </c:pt>
                <c:pt idx="558">
                  <c:v>38143192</c:v>
                </c:pt>
                <c:pt idx="559">
                  <c:v>41497994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2D-F34B-B5E4-11E03C29D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140352"/>
        <c:axId val="1678114816"/>
      </c:scatterChart>
      <c:valAx>
        <c:axId val="158414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8114816"/>
        <c:crosses val="autoZero"/>
        <c:crossBetween val="midCat"/>
      </c:valAx>
      <c:valAx>
        <c:axId val="1678114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Impressions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414035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298450</xdr:colOff>
      <xdr:row>2</xdr:row>
      <xdr:rowOff>63500</xdr:rowOff>
    </xdr:from>
    <xdr:to>
      <xdr:col>17</xdr:col>
      <xdr:colOff>60002</xdr:colOff>
      <xdr:row>19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CC81EF-FC9E-7D40-932B-F7FD78D46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1</xdr:row>
      <xdr:rowOff>63500</xdr:rowOff>
    </xdr:from>
    <xdr:to>
      <xdr:col>15</xdr:col>
      <xdr:colOff>279400</xdr:colOff>
      <xdr:row>11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FE278C-2229-6D47-8038-63CFAAD3B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279400</xdr:colOff>
      <xdr:row>3</xdr:row>
      <xdr:rowOff>63500</xdr:rowOff>
    </xdr:from>
    <xdr:to>
      <xdr:col>16</xdr:col>
      <xdr:colOff>279400</xdr:colOff>
      <xdr:row>13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C210B6-71B8-0743-8EC7-A6B6FD7EC8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561"/>
  <sheetViews>
    <sheetView tabSelected="1" topLeftCell="I1" workbookViewId="0">
      <pane ySplit="1" topLeftCell="A2" activePane="bottomLeft" state="frozen"/>
      <selection pane="bottomLeft" activeCell="N28" sqref="N28"/>
    </sheetView>
  </sheetViews>
  <sheetFormatPr baseColWidth="10" defaultRowHeight="16" x14ac:dyDescent="0.2"/>
  <cols>
    <col min="1" max="1" width="13" customWidth="1"/>
    <col min="3" max="3" width="14.5" customWidth="1"/>
    <col min="11" max="11" width="15.5" customWidth="1"/>
  </cols>
  <sheetData>
    <row r="1" spans="1:9" s="6" customFormat="1" x14ac:dyDescent="0.2">
      <c r="A1" s="6" t="s">
        <v>0</v>
      </c>
      <c r="B1" s="6" t="s">
        <v>1</v>
      </c>
      <c r="C1" s="6" t="s">
        <v>2</v>
      </c>
      <c r="D1" s="6" t="s">
        <v>456</v>
      </c>
      <c r="E1" s="6" t="s">
        <v>1</v>
      </c>
      <c r="G1" s="6" t="s">
        <v>455</v>
      </c>
      <c r="H1" s="6" t="s">
        <v>454</v>
      </c>
      <c r="I1" s="6" t="s">
        <v>5</v>
      </c>
    </row>
    <row r="2" spans="1:9" x14ac:dyDescent="0.2">
      <c r="A2" t="s">
        <v>6</v>
      </c>
      <c r="B2">
        <v>1</v>
      </c>
      <c r="C2">
        <v>260</v>
      </c>
      <c r="D2">
        <v>10</v>
      </c>
      <c r="E2">
        <v>1</v>
      </c>
      <c r="G2" t="s">
        <v>457</v>
      </c>
      <c r="H2" t="s">
        <v>458</v>
      </c>
      <c r="I2" t="s">
        <v>9</v>
      </c>
    </row>
    <row r="3" spans="1:9" x14ac:dyDescent="0.2">
      <c r="A3" t="s">
        <v>6</v>
      </c>
      <c r="B3">
        <v>8749</v>
      </c>
      <c r="C3">
        <v>4081449</v>
      </c>
      <c r="D3">
        <v>84</v>
      </c>
      <c r="E3">
        <v>8749</v>
      </c>
      <c r="G3" t="s">
        <v>459</v>
      </c>
      <c r="H3" t="s">
        <v>460</v>
      </c>
      <c r="I3" t="s">
        <v>9</v>
      </c>
    </row>
    <row r="4" spans="1:9" x14ac:dyDescent="0.2">
      <c r="A4" t="s">
        <v>6</v>
      </c>
      <c r="B4">
        <v>2</v>
      </c>
      <c r="C4">
        <v>729</v>
      </c>
      <c r="D4">
        <v>10</v>
      </c>
      <c r="E4">
        <v>2</v>
      </c>
      <c r="G4" t="s">
        <v>457</v>
      </c>
      <c r="H4" t="s">
        <v>458</v>
      </c>
      <c r="I4" t="s">
        <v>9</v>
      </c>
    </row>
    <row r="5" spans="1:9" x14ac:dyDescent="0.2">
      <c r="A5" t="s">
        <v>6</v>
      </c>
      <c r="B5">
        <v>924</v>
      </c>
      <c r="C5">
        <v>806803</v>
      </c>
      <c r="D5">
        <v>84</v>
      </c>
      <c r="E5">
        <v>924</v>
      </c>
      <c r="G5" t="s">
        <v>459</v>
      </c>
      <c r="H5" t="s">
        <v>460</v>
      </c>
      <c r="I5" t="s">
        <v>9</v>
      </c>
    </row>
    <row r="6" spans="1:9" x14ac:dyDescent="0.2">
      <c r="A6" t="s">
        <v>6</v>
      </c>
      <c r="B6">
        <v>7542</v>
      </c>
      <c r="C6">
        <v>5434641</v>
      </c>
      <c r="D6">
        <v>63</v>
      </c>
      <c r="E6">
        <v>7542</v>
      </c>
      <c r="G6" t="s">
        <v>461</v>
      </c>
      <c r="H6" t="s">
        <v>460</v>
      </c>
      <c r="I6" t="s">
        <v>9</v>
      </c>
    </row>
    <row r="7" spans="1:9" x14ac:dyDescent="0.2">
      <c r="A7" t="s">
        <v>6</v>
      </c>
      <c r="B7">
        <v>3334</v>
      </c>
      <c r="C7">
        <v>3282275</v>
      </c>
      <c r="D7">
        <v>63</v>
      </c>
      <c r="E7">
        <v>3334</v>
      </c>
      <c r="G7" t="s">
        <v>461</v>
      </c>
      <c r="H7" t="s">
        <v>460</v>
      </c>
      <c r="I7" t="s">
        <v>9</v>
      </c>
    </row>
    <row r="8" spans="1:9" x14ac:dyDescent="0.2">
      <c r="A8" t="s">
        <v>6</v>
      </c>
      <c r="B8">
        <v>300</v>
      </c>
      <c r="C8">
        <v>156211</v>
      </c>
      <c r="D8">
        <v>12</v>
      </c>
      <c r="E8">
        <v>300</v>
      </c>
      <c r="G8" t="s">
        <v>462</v>
      </c>
      <c r="H8" t="s">
        <v>463</v>
      </c>
      <c r="I8" t="s">
        <v>9</v>
      </c>
    </row>
    <row r="9" spans="1:9" x14ac:dyDescent="0.2">
      <c r="A9" t="s">
        <v>6</v>
      </c>
      <c r="B9">
        <v>124</v>
      </c>
      <c r="C9">
        <v>70295</v>
      </c>
      <c r="D9">
        <v>226</v>
      </c>
      <c r="E9">
        <v>124</v>
      </c>
      <c r="G9" t="s">
        <v>464</v>
      </c>
      <c r="H9" t="s">
        <v>465</v>
      </c>
      <c r="I9" t="s">
        <v>9</v>
      </c>
    </row>
    <row r="10" spans="1:9" x14ac:dyDescent="0.2">
      <c r="A10" t="s">
        <v>6</v>
      </c>
      <c r="B10">
        <v>149</v>
      </c>
      <c r="C10">
        <v>38957</v>
      </c>
      <c r="D10">
        <v>12</v>
      </c>
      <c r="E10">
        <v>149</v>
      </c>
      <c r="G10" t="s">
        <v>466</v>
      </c>
      <c r="H10" t="s">
        <v>458</v>
      </c>
      <c r="I10" t="s">
        <v>9</v>
      </c>
    </row>
    <row r="11" spans="1:9" x14ac:dyDescent="0.2">
      <c r="A11" t="s">
        <v>6</v>
      </c>
      <c r="B11">
        <v>223</v>
      </c>
      <c r="C11">
        <v>131249</v>
      </c>
      <c r="D11">
        <v>226</v>
      </c>
      <c r="E11">
        <v>223</v>
      </c>
      <c r="G11" t="s">
        <v>464</v>
      </c>
      <c r="H11" t="s">
        <v>465</v>
      </c>
      <c r="I11" t="s">
        <v>9</v>
      </c>
    </row>
    <row r="12" spans="1:9" x14ac:dyDescent="0.2">
      <c r="A12" t="s">
        <v>6</v>
      </c>
      <c r="B12">
        <v>122</v>
      </c>
      <c r="C12">
        <v>56539</v>
      </c>
      <c r="D12">
        <v>12</v>
      </c>
      <c r="E12">
        <v>122</v>
      </c>
      <c r="G12" t="s">
        <v>462</v>
      </c>
      <c r="H12" t="s">
        <v>463</v>
      </c>
      <c r="I12" t="s">
        <v>9</v>
      </c>
    </row>
    <row r="13" spans="1:9" x14ac:dyDescent="0.2">
      <c r="A13" t="s">
        <v>6</v>
      </c>
      <c r="B13">
        <v>510</v>
      </c>
      <c r="C13">
        <v>76037</v>
      </c>
      <c r="D13">
        <v>27</v>
      </c>
      <c r="E13">
        <v>510</v>
      </c>
      <c r="G13" t="s">
        <v>467</v>
      </c>
      <c r="H13" t="s">
        <v>458</v>
      </c>
      <c r="I13" t="s">
        <v>9</v>
      </c>
    </row>
    <row r="14" spans="1:9" x14ac:dyDescent="0.2">
      <c r="A14" t="s">
        <v>6</v>
      </c>
      <c r="B14">
        <v>302</v>
      </c>
      <c r="C14">
        <v>30507</v>
      </c>
      <c r="D14">
        <v>4</v>
      </c>
      <c r="E14">
        <v>302</v>
      </c>
      <c r="G14" t="s">
        <v>468</v>
      </c>
      <c r="H14" t="s">
        <v>469</v>
      </c>
      <c r="I14" t="s">
        <v>9</v>
      </c>
    </row>
    <row r="15" spans="1:9" x14ac:dyDescent="0.2">
      <c r="A15" t="s">
        <v>6</v>
      </c>
      <c r="B15">
        <v>257</v>
      </c>
      <c r="C15">
        <v>201877</v>
      </c>
      <c r="D15">
        <v>31</v>
      </c>
      <c r="E15">
        <v>257</v>
      </c>
      <c r="G15" t="s">
        <v>470</v>
      </c>
      <c r="H15" t="s">
        <v>471</v>
      </c>
      <c r="I15" t="s">
        <v>9</v>
      </c>
    </row>
    <row r="16" spans="1:9" x14ac:dyDescent="0.2">
      <c r="A16" t="s">
        <v>6</v>
      </c>
      <c r="B16">
        <v>86</v>
      </c>
      <c r="C16">
        <v>9831</v>
      </c>
      <c r="D16">
        <v>27</v>
      </c>
      <c r="E16">
        <v>86</v>
      </c>
      <c r="G16" t="s">
        <v>467</v>
      </c>
      <c r="H16" t="s">
        <v>458</v>
      </c>
      <c r="I16" t="s">
        <v>9</v>
      </c>
    </row>
    <row r="17" spans="1:12" x14ac:dyDescent="0.2">
      <c r="A17" t="s">
        <v>6</v>
      </c>
      <c r="B17">
        <v>8</v>
      </c>
      <c r="C17">
        <v>809</v>
      </c>
      <c r="D17">
        <v>4</v>
      </c>
      <c r="E17">
        <v>8</v>
      </c>
      <c r="G17" t="s">
        <v>468</v>
      </c>
      <c r="H17" t="s">
        <v>469</v>
      </c>
      <c r="I17" t="s">
        <v>9</v>
      </c>
    </row>
    <row r="18" spans="1:12" x14ac:dyDescent="0.2">
      <c r="A18" t="s">
        <v>6</v>
      </c>
      <c r="B18">
        <v>3484</v>
      </c>
      <c r="C18">
        <v>1101225</v>
      </c>
      <c r="D18">
        <v>24</v>
      </c>
      <c r="E18">
        <v>3484</v>
      </c>
      <c r="G18" t="s">
        <v>467</v>
      </c>
      <c r="H18" t="s">
        <v>472</v>
      </c>
      <c r="I18" t="s">
        <v>9</v>
      </c>
    </row>
    <row r="19" spans="1:12" x14ac:dyDescent="0.2">
      <c r="A19" t="s">
        <v>6</v>
      </c>
      <c r="B19">
        <v>932</v>
      </c>
      <c r="C19">
        <v>97593</v>
      </c>
      <c r="D19">
        <v>12</v>
      </c>
      <c r="E19">
        <v>932</v>
      </c>
      <c r="G19" t="s">
        <v>473</v>
      </c>
      <c r="H19" t="s">
        <v>471</v>
      </c>
      <c r="I19" t="s">
        <v>9</v>
      </c>
    </row>
    <row r="20" spans="1:12" x14ac:dyDescent="0.2">
      <c r="A20" t="s">
        <v>6</v>
      </c>
      <c r="B20">
        <v>314</v>
      </c>
      <c r="C20">
        <v>157166</v>
      </c>
      <c r="D20">
        <v>26</v>
      </c>
      <c r="E20">
        <v>314</v>
      </c>
      <c r="G20" t="s">
        <v>463</v>
      </c>
      <c r="H20" t="s">
        <v>472</v>
      </c>
      <c r="I20" t="s">
        <v>9</v>
      </c>
    </row>
    <row r="21" spans="1:12" x14ac:dyDescent="0.2">
      <c r="A21" t="s">
        <v>6</v>
      </c>
      <c r="B21">
        <v>10969</v>
      </c>
      <c r="C21">
        <v>5329960</v>
      </c>
      <c r="D21">
        <v>8</v>
      </c>
      <c r="E21">
        <v>10969</v>
      </c>
      <c r="G21" t="s">
        <v>474</v>
      </c>
      <c r="H21" t="s">
        <v>475</v>
      </c>
      <c r="I21" t="s">
        <v>9</v>
      </c>
      <c r="K21" s="8" t="s">
        <v>550</v>
      </c>
      <c r="L21" s="7">
        <f>SLOPE(C:C,B:B)</f>
        <v>366.33324311662801</v>
      </c>
    </row>
    <row r="22" spans="1:12" x14ac:dyDescent="0.2">
      <c r="A22" t="s">
        <v>6</v>
      </c>
      <c r="B22">
        <v>193</v>
      </c>
      <c r="C22">
        <v>133558</v>
      </c>
      <c r="D22">
        <v>35</v>
      </c>
      <c r="E22">
        <v>193</v>
      </c>
      <c r="G22" t="s">
        <v>462</v>
      </c>
      <c r="H22" t="s">
        <v>476</v>
      </c>
      <c r="I22" t="s">
        <v>9</v>
      </c>
      <c r="K22" s="8" t="s">
        <v>531</v>
      </c>
      <c r="L22" s="7">
        <f>INTERCEPT(C:C,B:B)</f>
        <v>13853.553229435347</v>
      </c>
    </row>
    <row r="23" spans="1:12" x14ac:dyDescent="0.2">
      <c r="A23" t="s">
        <v>6</v>
      </c>
      <c r="B23">
        <v>188</v>
      </c>
      <c r="C23">
        <v>155378</v>
      </c>
      <c r="D23">
        <v>31</v>
      </c>
      <c r="E23">
        <v>188</v>
      </c>
      <c r="G23" t="s">
        <v>470</v>
      </c>
      <c r="H23" t="s">
        <v>471</v>
      </c>
      <c r="I23" t="s">
        <v>9</v>
      </c>
      <c r="K23" s="8" t="s">
        <v>551</v>
      </c>
      <c r="L23" s="7">
        <f>RSQ(C:C,B:B)</f>
        <v>0.61004562355557912</v>
      </c>
    </row>
    <row r="24" spans="1:12" x14ac:dyDescent="0.2">
      <c r="A24" t="s">
        <v>6</v>
      </c>
      <c r="B24">
        <v>182</v>
      </c>
      <c r="C24">
        <v>79850</v>
      </c>
      <c r="D24">
        <v>12</v>
      </c>
      <c r="E24">
        <v>182</v>
      </c>
      <c r="G24" t="s">
        <v>462</v>
      </c>
      <c r="H24" t="s">
        <v>463</v>
      </c>
      <c r="I24" t="s">
        <v>9</v>
      </c>
      <c r="K24" s="8" t="s">
        <v>552</v>
      </c>
      <c r="L24" s="7">
        <f>STEYX(C:C,B:B)</f>
        <v>2315807.063879068</v>
      </c>
    </row>
    <row r="25" spans="1:12" x14ac:dyDescent="0.2">
      <c r="A25" t="s">
        <v>6</v>
      </c>
      <c r="B25">
        <v>12577</v>
      </c>
      <c r="C25">
        <v>1296931</v>
      </c>
      <c r="D25">
        <v>8</v>
      </c>
      <c r="E25">
        <v>12577</v>
      </c>
      <c r="G25" t="s">
        <v>474</v>
      </c>
      <c r="H25" t="s">
        <v>475</v>
      </c>
      <c r="I25" t="s">
        <v>9</v>
      </c>
    </row>
    <row r="26" spans="1:12" x14ac:dyDescent="0.2">
      <c r="A26" t="s">
        <v>6</v>
      </c>
      <c r="B26">
        <v>6134</v>
      </c>
      <c r="C26">
        <v>643397</v>
      </c>
      <c r="D26">
        <v>84</v>
      </c>
      <c r="E26">
        <v>6134</v>
      </c>
      <c r="G26" t="s">
        <v>459</v>
      </c>
      <c r="H26" t="s">
        <v>460</v>
      </c>
      <c r="I26" t="s">
        <v>9</v>
      </c>
      <c r="K26" s="8" t="s">
        <v>553</v>
      </c>
      <c r="L26" s="7">
        <f>AVERAGE(C:C)</f>
        <v>1167799.9982142858</v>
      </c>
    </row>
    <row r="27" spans="1:12" x14ac:dyDescent="0.2">
      <c r="A27" t="s">
        <v>6</v>
      </c>
      <c r="B27">
        <v>686</v>
      </c>
      <c r="C27">
        <v>171467</v>
      </c>
      <c r="D27">
        <v>22</v>
      </c>
      <c r="E27">
        <v>686</v>
      </c>
      <c r="G27" t="s">
        <v>459</v>
      </c>
      <c r="H27" t="s">
        <v>477</v>
      </c>
      <c r="I27" t="s">
        <v>9</v>
      </c>
    </row>
    <row r="28" spans="1:12" x14ac:dyDescent="0.2">
      <c r="A28" t="s">
        <v>6</v>
      </c>
      <c r="B28">
        <v>238</v>
      </c>
      <c r="C28">
        <v>106031</v>
      </c>
      <c r="D28">
        <v>81</v>
      </c>
      <c r="E28">
        <v>238</v>
      </c>
      <c r="G28" t="s">
        <v>478</v>
      </c>
      <c r="H28" t="s">
        <v>474</v>
      </c>
      <c r="I28" t="s">
        <v>9</v>
      </c>
    </row>
    <row r="29" spans="1:12" x14ac:dyDescent="0.2">
      <c r="A29" t="s">
        <v>6</v>
      </c>
      <c r="B29">
        <v>183</v>
      </c>
      <c r="C29">
        <v>89547</v>
      </c>
      <c r="D29">
        <v>40</v>
      </c>
      <c r="E29">
        <v>183</v>
      </c>
      <c r="G29" t="s">
        <v>479</v>
      </c>
      <c r="H29" t="s">
        <v>480</v>
      </c>
      <c r="I29" t="s">
        <v>9</v>
      </c>
    </row>
    <row r="30" spans="1:12" x14ac:dyDescent="0.2">
      <c r="A30" t="s">
        <v>6</v>
      </c>
      <c r="B30">
        <v>20</v>
      </c>
      <c r="C30">
        <v>5283</v>
      </c>
      <c r="D30">
        <v>10</v>
      </c>
      <c r="E30">
        <v>20</v>
      </c>
      <c r="G30" t="s">
        <v>481</v>
      </c>
      <c r="H30" t="s">
        <v>468</v>
      </c>
      <c r="I30" t="s">
        <v>9</v>
      </c>
    </row>
    <row r="31" spans="1:12" x14ac:dyDescent="0.2">
      <c r="A31" t="s">
        <v>6</v>
      </c>
      <c r="B31">
        <v>1</v>
      </c>
      <c r="C31">
        <v>354</v>
      </c>
      <c r="D31">
        <v>10</v>
      </c>
      <c r="E31">
        <v>1</v>
      </c>
      <c r="G31" t="s">
        <v>457</v>
      </c>
      <c r="H31" t="s">
        <v>458</v>
      </c>
      <c r="I31" t="s">
        <v>9</v>
      </c>
    </row>
    <row r="32" spans="1:12" x14ac:dyDescent="0.2">
      <c r="A32" t="s">
        <v>6</v>
      </c>
      <c r="B32">
        <v>560</v>
      </c>
      <c r="C32">
        <v>281284</v>
      </c>
      <c r="D32">
        <v>-2</v>
      </c>
      <c r="E32">
        <v>560</v>
      </c>
      <c r="G32" t="s">
        <v>479</v>
      </c>
      <c r="H32" t="s">
        <v>470</v>
      </c>
      <c r="I32" t="s">
        <v>9</v>
      </c>
    </row>
    <row r="33" spans="1:9" x14ac:dyDescent="0.2">
      <c r="A33" t="s">
        <v>6</v>
      </c>
      <c r="B33">
        <v>293</v>
      </c>
      <c r="C33">
        <v>246311</v>
      </c>
      <c r="D33">
        <v>26</v>
      </c>
      <c r="E33">
        <v>293</v>
      </c>
      <c r="G33" t="s">
        <v>482</v>
      </c>
      <c r="H33" t="s">
        <v>471</v>
      </c>
      <c r="I33" t="s">
        <v>9</v>
      </c>
    </row>
    <row r="34" spans="1:9" x14ac:dyDescent="0.2">
      <c r="A34" t="s">
        <v>6</v>
      </c>
      <c r="B34">
        <v>6203</v>
      </c>
      <c r="C34">
        <v>650180</v>
      </c>
      <c r="D34">
        <v>63</v>
      </c>
      <c r="E34">
        <v>6203</v>
      </c>
      <c r="G34" t="s">
        <v>461</v>
      </c>
      <c r="H34" t="s">
        <v>460</v>
      </c>
      <c r="I34" t="s">
        <v>9</v>
      </c>
    </row>
    <row r="35" spans="1:9" x14ac:dyDescent="0.2">
      <c r="A35" t="s">
        <v>6</v>
      </c>
      <c r="B35">
        <v>134</v>
      </c>
      <c r="C35">
        <v>13262</v>
      </c>
      <c r="D35">
        <v>27</v>
      </c>
      <c r="E35">
        <v>134</v>
      </c>
      <c r="G35" t="s">
        <v>467</v>
      </c>
      <c r="H35" t="s">
        <v>458</v>
      </c>
      <c r="I35" t="s">
        <v>9</v>
      </c>
    </row>
    <row r="36" spans="1:9" x14ac:dyDescent="0.2">
      <c r="A36" t="s">
        <v>6</v>
      </c>
      <c r="B36">
        <v>4973</v>
      </c>
      <c r="C36">
        <v>1025953</v>
      </c>
      <c r="D36">
        <v>24</v>
      </c>
      <c r="E36">
        <v>4973</v>
      </c>
      <c r="G36" t="s">
        <v>467</v>
      </c>
      <c r="H36" t="s">
        <v>472</v>
      </c>
      <c r="I36" t="s">
        <v>9</v>
      </c>
    </row>
    <row r="37" spans="1:9" x14ac:dyDescent="0.2">
      <c r="A37" t="s">
        <v>6</v>
      </c>
      <c r="B37">
        <v>3250</v>
      </c>
      <c r="C37">
        <v>1647552</v>
      </c>
      <c r="D37">
        <v>31</v>
      </c>
      <c r="E37">
        <v>3250</v>
      </c>
      <c r="G37" t="s">
        <v>470</v>
      </c>
      <c r="H37" t="s">
        <v>471</v>
      </c>
      <c r="I37" t="s">
        <v>9</v>
      </c>
    </row>
    <row r="38" spans="1:9" x14ac:dyDescent="0.2">
      <c r="A38" t="s">
        <v>6</v>
      </c>
      <c r="B38">
        <v>5</v>
      </c>
      <c r="C38">
        <v>460</v>
      </c>
      <c r="D38">
        <v>4</v>
      </c>
      <c r="E38">
        <v>5</v>
      </c>
      <c r="G38" t="s">
        <v>468</v>
      </c>
      <c r="H38" t="s">
        <v>469</v>
      </c>
      <c r="I38" t="s">
        <v>9</v>
      </c>
    </row>
    <row r="39" spans="1:9" x14ac:dyDescent="0.2">
      <c r="A39" t="s">
        <v>6</v>
      </c>
      <c r="B39">
        <v>99</v>
      </c>
      <c r="C39">
        <v>11018</v>
      </c>
      <c r="D39">
        <v>27</v>
      </c>
      <c r="E39">
        <v>99</v>
      </c>
      <c r="G39" t="s">
        <v>467</v>
      </c>
      <c r="H39" t="s">
        <v>458</v>
      </c>
      <c r="I39" t="s">
        <v>9</v>
      </c>
    </row>
    <row r="40" spans="1:9" x14ac:dyDescent="0.2">
      <c r="A40" t="s">
        <v>6</v>
      </c>
      <c r="B40">
        <v>1989</v>
      </c>
      <c r="C40">
        <v>1649468</v>
      </c>
      <c r="D40">
        <v>84</v>
      </c>
      <c r="E40">
        <v>1989</v>
      </c>
      <c r="G40" t="s">
        <v>459</v>
      </c>
      <c r="H40" t="s">
        <v>460</v>
      </c>
      <c r="I40" t="s">
        <v>9</v>
      </c>
    </row>
    <row r="41" spans="1:9" x14ac:dyDescent="0.2">
      <c r="A41" t="s">
        <v>6</v>
      </c>
      <c r="B41">
        <v>1856</v>
      </c>
      <c r="C41">
        <v>1531835</v>
      </c>
      <c r="D41">
        <v>26</v>
      </c>
      <c r="E41">
        <v>1856</v>
      </c>
      <c r="G41" t="s">
        <v>482</v>
      </c>
      <c r="H41" t="s">
        <v>471</v>
      </c>
      <c r="I41" t="s">
        <v>9</v>
      </c>
    </row>
    <row r="42" spans="1:9" x14ac:dyDescent="0.2">
      <c r="A42" t="s">
        <v>6</v>
      </c>
      <c r="B42">
        <v>177</v>
      </c>
      <c r="C42">
        <v>161470</v>
      </c>
      <c r="D42">
        <v>31</v>
      </c>
      <c r="E42">
        <v>177</v>
      </c>
      <c r="G42" t="s">
        <v>470</v>
      </c>
      <c r="H42" t="s">
        <v>471</v>
      </c>
      <c r="I42" t="s">
        <v>9</v>
      </c>
    </row>
    <row r="43" spans="1:9" x14ac:dyDescent="0.2">
      <c r="A43" t="s">
        <v>6</v>
      </c>
      <c r="B43">
        <v>2114</v>
      </c>
      <c r="C43">
        <v>220837</v>
      </c>
      <c r="D43">
        <v>29</v>
      </c>
      <c r="E43">
        <v>2114</v>
      </c>
      <c r="G43" t="s">
        <v>471</v>
      </c>
      <c r="H43" t="s">
        <v>472</v>
      </c>
      <c r="I43" t="s">
        <v>9</v>
      </c>
    </row>
    <row r="44" spans="1:9" x14ac:dyDescent="0.2">
      <c r="A44" t="s">
        <v>6</v>
      </c>
      <c r="B44">
        <v>827</v>
      </c>
      <c r="C44">
        <v>2419734</v>
      </c>
      <c r="D44">
        <v>24</v>
      </c>
      <c r="E44">
        <v>827</v>
      </c>
      <c r="G44" t="s">
        <v>483</v>
      </c>
      <c r="H44" t="s">
        <v>484</v>
      </c>
      <c r="I44" t="s">
        <v>9</v>
      </c>
    </row>
    <row r="45" spans="1:9" x14ac:dyDescent="0.2">
      <c r="A45" t="s">
        <v>6</v>
      </c>
      <c r="B45">
        <v>125</v>
      </c>
      <c r="C45">
        <v>13346</v>
      </c>
      <c r="D45">
        <v>27</v>
      </c>
      <c r="E45">
        <v>125</v>
      </c>
      <c r="G45" t="s">
        <v>467</v>
      </c>
      <c r="H45" t="s">
        <v>458</v>
      </c>
      <c r="I45" t="s">
        <v>9</v>
      </c>
    </row>
    <row r="46" spans="1:9" x14ac:dyDescent="0.2">
      <c r="A46" t="s">
        <v>6</v>
      </c>
      <c r="B46">
        <v>6200</v>
      </c>
      <c r="C46">
        <v>649741</v>
      </c>
      <c r="D46">
        <v>63</v>
      </c>
      <c r="E46">
        <v>6200</v>
      </c>
      <c r="G46" t="s">
        <v>461</v>
      </c>
      <c r="H46" t="s">
        <v>460</v>
      </c>
      <c r="I46" t="s">
        <v>9</v>
      </c>
    </row>
    <row r="47" spans="1:9" x14ac:dyDescent="0.2">
      <c r="A47" t="s">
        <v>6</v>
      </c>
      <c r="B47">
        <v>148</v>
      </c>
      <c r="C47">
        <v>87263</v>
      </c>
      <c r="D47">
        <v>12</v>
      </c>
      <c r="E47">
        <v>148</v>
      </c>
      <c r="G47" t="s">
        <v>462</v>
      </c>
      <c r="H47" t="s">
        <v>463</v>
      </c>
      <c r="I47" t="s">
        <v>9</v>
      </c>
    </row>
    <row r="48" spans="1:9" x14ac:dyDescent="0.2">
      <c r="A48" t="s">
        <v>6</v>
      </c>
      <c r="B48">
        <v>50</v>
      </c>
      <c r="C48">
        <v>22156</v>
      </c>
      <c r="D48">
        <v>40</v>
      </c>
      <c r="E48">
        <v>50</v>
      </c>
      <c r="G48" t="s">
        <v>479</v>
      </c>
      <c r="H48" t="s">
        <v>480</v>
      </c>
      <c r="I48" t="s">
        <v>9</v>
      </c>
    </row>
    <row r="49" spans="1:9" x14ac:dyDescent="0.2">
      <c r="A49" t="s">
        <v>6</v>
      </c>
      <c r="B49">
        <v>32</v>
      </c>
      <c r="C49">
        <v>18408</v>
      </c>
      <c r="D49">
        <v>226</v>
      </c>
      <c r="E49">
        <v>32</v>
      </c>
      <c r="G49" t="s">
        <v>464</v>
      </c>
      <c r="H49" t="s">
        <v>465</v>
      </c>
      <c r="I49" t="s">
        <v>9</v>
      </c>
    </row>
    <row r="50" spans="1:9" x14ac:dyDescent="0.2">
      <c r="A50" t="s">
        <v>6</v>
      </c>
      <c r="B50">
        <v>32</v>
      </c>
      <c r="C50">
        <v>14441</v>
      </c>
      <c r="D50">
        <v>16</v>
      </c>
      <c r="E50">
        <v>32</v>
      </c>
      <c r="G50" t="s">
        <v>480</v>
      </c>
      <c r="H50" t="s">
        <v>485</v>
      </c>
      <c r="I50" t="s">
        <v>9</v>
      </c>
    </row>
    <row r="51" spans="1:9" x14ac:dyDescent="0.2">
      <c r="A51" t="s">
        <v>6</v>
      </c>
      <c r="B51">
        <v>1121</v>
      </c>
      <c r="C51">
        <v>144311</v>
      </c>
      <c r="D51">
        <v>27</v>
      </c>
      <c r="E51">
        <v>1121</v>
      </c>
      <c r="G51" t="s">
        <v>467</v>
      </c>
      <c r="H51" t="s">
        <v>458</v>
      </c>
      <c r="I51" t="s">
        <v>9</v>
      </c>
    </row>
    <row r="52" spans="1:9" x14ac:dyDescent="0.2">
      <c r="A52" t="s">
        <v>6</v>
      </c>
      <c r="B52">
        <v>35</v>
      </c>
      <c r="C52">
        <v>17360</v>
      </c>
      <c r="D52">
        <v>40</v>
      </c>
      <c r="E52">
        <v>35</v>
      </c>
      <c r="G52" t="s">
        <v>479</v>
      </c>
      <c r="H52" t="s">
        <v>480</v>
      </c>
      <c r="I52" t="s">
        <v>9</v>
      </c>
    </row>
    <row r="53" spans="1:9" x14ac:dyDescent="0.2">
      <c r="A53" t="s">
        <v>6</v>
      </c>
      <c r="B53">
        <v>555</v>
      </c>
      <c r="C53">
        <v>300469</v>
      </c>
      <c r="D53">
        <v>32</v>
      </c>
      <c r="E53">
        <v>555</v>
      </c>
      <c r="G53" t="s">
        <v>479</v>
      </c>
      <c r="H53" t="s">
        <v>463</v>
      </c>
      <c r="I53" t="s">
        <v>9</v>
      </c>
    </row>
    <row r="54" spans="1:9" x14ac:dyDescent="0.2">
      <c r="A54" t="s">
        <v>6</v>
      </c>
      <c r="B54">
        <v>878</v>
      </c>
      <c r="C54">
        <v>227745</v>
      </c>
      <c r="D54">
        <v>14</v>
      </c>
      <c r="E54">
        <v>878</v>
      </c>
      <c r="G54" t="s">
        <v>486</v>
      </c>
      <c r="H54" t="s">
        <v>471</v>
      </c>
      <c r="I54" t="s">
        <v>9</v>
      </c>
    </row>
    <row r="55" spans="1:9" x14ac:dyDescent="0.2">
      <c r="A55" t="s">
        <v>6</v>
      </c>
      <c r="B55">
        <v>275</v>
      </c>
      <c r="C55">
        <v>248703</v>
      </c>
      <c r="D55">
        <v>2</v>
      </c>
      <c r="E55">
        <v>275</v>
      </c>
      <c r="G55" t="s">
        <v>461</v>
      </c>
      <c r="H55" t="s">
        <v>487</v>
      </c>
      <c r="I55" t="s">
        <v>9</v>
      </c>
    </row>
    <row r="56" spans="1:9" x14ac:dyDescent="0.2">
      <c r="A56" t="s">
        <v>6</v>
      </c>
      <c r="B56">
        <v>130</v>
      </c>
      <c r="C56">
        <v>102995</v>
      </c>
      <c r="D56">
        <v>287</v>
      </c>
      <c r="E56">
        <v>130</v>
      </c>
      <c r="G56" t="s">
        <v>488</v>
      </c>
      <c r="H56" t="s">
        <v>489</v>
      </c>
      <c r="I56" t="s">
        <v>9</v>
      </c>
    </row>
    <row r="57" spans="1:9" x14ac:dyDescent="0.2">
      <c r="A57" t="s">
        <v>6</v>
      </c>
      <c r="B57">
        <v>5545</v>
      </c>
      <c r="C57">
        <v>2312929</v>
      </c>
      <c r="D57">
        <v>51</v>
      </c>
      <c r="E57">
        <v>5545</v>
      </c>
      <c r="G57" t="s">
        <v>459</v>
      </c>
      <c r="H57" t="s">
        <v>485</v>
      </c>
      <c r="I57" t="s">
        <v>9</v>
      </c>
    </row>
    <row r="58" spans="1:9" x14ac:dyDescent="0.2">
      <c r="A58" t="s">
        <v>6</v>
      </c>
      <c r="B58">
        <v>97</v>
      </c>
      <c r="C58">
        <v>9549</v>
      </c>
      <c r="D58">
        <v>27</v>
      </c>
      <c r="E58">
        <v>97</v>
      </c>
      <c r="G58" t="s">
        <v>467</v>
      </c>
      <c r="H58" t="s">
        <v>458</v>
      </c>
      <c r="I58" t="s">
        <v>9</v>
      </c>
    </row>
    <row r="59" spans="1:9" x14ac:dyDescent="0.2">
      <c r="A59" t="s">
        <v>6</v>
      </c>
      <c r="B59">
        <v>80</v>
      </c>
      <c r="C59">
        <v>47747</v>
      </c>
      <c r="D59">
        <v>40</v>
      </c>
      <c r="E59">
        <v>80</v>
      </c>
      <c r="G59" t="s">
        <v>479</v>
      </c>
      <c r="H59" t="s">
        <v>480</v>
      </c>
      <c r="I59" t="s">
        <v>9</v>
      </c>
    </row>
    <row r="60" spans="1:9" x14ac:dyDescent="0.2">
      <c r="A60" t="s">
        <v>6</v>
      </c>
      <c r="B60">
        <v>800</v>
      </c>
      <c r="C60">
        <v>98222</v>
      </c>
      <c r="D60">
        <v>27</v>
      </c>
      <c r="E60">
        <v>800</v>
      </c>
      <c r="G60" t="s">
        <v>467</v>
      </c>
      <c r="H60" t="s">
        <v>458</v>
      </c>
      <c r="I60" t="s">
        <v>9</v>
      </c>
    </row>
    <row r="61" spans="1:9" x14ac:dyDescent="0.2">
      <c r="A61" t="s">
        <v>39</v>
      </c>
      <c r="B61">
        <v>3320</v>
      </c>
      <c r="C61">
        <v>1121298</v>
      </c>
      <c r="D61">
        <v>28</v>
      </c>
      <c r="E61">
        <v>3320</v>
      </c>
      <c r="G61" t="s">
        <v>490</v>
      </c>
      <c r="H61" t="s">
        <v>491</v>
      </c>
      <c r="I61" t="s">
        <v>9</v>
      </c>
    </row>
    <row r="62" spans="1:9" x14ac:dyDescent="0.2">
      <c r="A62" t="s">
        <v>6</v>
      </c>
      <c r="B62">
        <v>11547</v>
      </c>
      <c r="C62">
        <v>1190775</v>
      </c>
      <c r="D62">
        <v>8</v>
      </c>
      <c r="E62">
        <v>11547</v>
      </c>
      <c r="G62" t="s">
        <v>474</v>
      </c>
      <c r="H62" t="s">
        <v>475</v>
      </c>
      <c r="I62" t="s">
        <v>9</v>
      </c>
    </row>
    <row r="63" spans="1:9" x14ac:dyDescent="0.2">
      <c r="A63" t="s">
        <v>6</v>
      </c>
      <c r="B63">
        <v>24496</v>
      </c>
      <c r="C63">
        <v>2505812</v>
      </c>
      <c r="D63">
        <v>8</v>
      </c>
      <c r="E63">
        <v>24496</v>
      </c>
      <c r="G63" t="s">
        <v>474</v>
      </c>
      <c r="H63" t="s">
        <v>475</v>
      </c>
      <c r="I63" t="s">
        <v>9</v>
      </c>
    </row>
    <row r="64" spans="1:9" x14ac:dyDescent="0.2">
      <c r="A64" t="s">
        <v>6</v>
      </c>
      <c r="B64">
        <v>32800</v>
      </c>
      <c r="C64">
        <v>3366238</v>
      </c>
      <c r="D64">
        <v>8</v>
      </c>
      <c r="E64">
        <v>32800</v>
      </c>
      <c r="G64" t="s">
        <v>474</v>
      </c>
      <c r="H64" t="s">
        <v>475</v>
      </c>
      <c r="I64" t="s">
        <v>9</v>
      </c>
    </row>
    <row r="65" spans="1:9" x14ac:dyDescent="0.2">
      <c r="A65" t="s">
        <v>6</v>
      </c>
      <c r="B65">
        <v>211</v>
      </c>
      <c r="C65">
        <v>124783</v>
      </c>
      <c r="D65">
        <v>12</v>
      </c>
      <c r="E65">
        <v>211</v>
      </c>
      <c r="G65" t="s">
        <v>462</v>
      </c>
      <c r="H65" t="s">
        <v>463</v>
      </c>
      <c r="I65" t="s">
        <v>9</v>
      </c>
    </row>
    <row r="66" spans="1:9" x14ac:dyDescent="0.2">
      <c r="A66" t="s">
        <v>6</v>
      </c>
      <c r="B66">
        <v>1963</v>
      </c>
      <c r="C66">
        <v>792413</v>
      </c>
      <c r="D66">
        <v>84</v>
      </c>
      <c r="E66">
        <v>1963</v>
      </c>
      <c r="G66" t="s">
        <v>459</v>
      </c>
      <c r="H66" t="s">
        <v>460</v>
      </c>
      <c r="I66" t="s">
        <v>9</v>
      </c>
    </row>
    <row r="67" spans="1:9" x14ac:dyDescent="0.2">
      <c r="A67" t="s">
        <v>6</v>
      </c>
      <c r="B67">
        <v>80</v>
      </c>
      <c r="C67">
        <v>49759</v>
      </c>
      <c r="D67">
        <v>7</v>
      </c>
      <c r="E67">
        <v>80</v>
      </c>
      <c r="G67" t="s">
        <v>462</v>
      </c>
      <c r="H67" t="s">
        <v>477</v>
      </c>
      <c r="I67" t="s">
        <v>9</v>
      </c>
    </row>
    <row r="68" spans="1:9" x14ac:dyDescent="0.2">
      <c r="A68" t="s">
        <v>6</v>
      </c>
      <c r="B68">
        <v>457</v>
      </c>
      <c r="C68">
        <v>55170</v>
      </c>
      <c r="D68">
        <v>27</v>
      </c>
      <c r="E68">
        <v>457</v>
      </c>
      <c r="G68" t="s">
        <v>467</v>
      </c>
      <c r="H68" t="s">
        <v>458</v>
      </c>
      <c r="I68" t="s">
        <v>9</v>
      </c>
    </row>
    <row r="69" spans="1:9" x14ac:dyDescent="0.2">
      <c r="A69" t="s">
        <v>6</v>
      </c>
      <c r="B69">
        <v>38593</v>
      </c>
      <c r="C69">
        <v>32941809</v>
      </c>
      <c r="D69">
        <v>63</v>
      </c>
      <c r="E69">
        <v>38593</v>
      </c>
      <c r="G69" t="s">
        <v>461</v>
      </c>
      <c r="H69" t="s">
        <v>460</v>
      </c>
      <c r="I69" t="s">
        <v>9</v>
      </c>
    </row>
    <row r="70" spans="1:9" x14ac:dyDescent="0.2">
      <c r="A70" t="s">
        <v>6</v>
      </c>
      <c r="B70">
        <v>5247</v>
      </c>
      <c r="C70">
        <v>548582</v>
      </c>
      <c r="D70">
        <v>10</v>
      </c>
      <c r="E70">
        <v>5247</v>
      </c>
      <c r="G70" t="s">
        <v>492</v>
      </c>
      <c r="H70" t="s">
        <v>493</v>
      </c>
      <c r="I70" t="s">
        <v>9</v>
      </c>
    </row>
    <row r="71" spans="1:9" x14ac:dyDescent="0.2">
      <c r="A71" t="s">
        <v>6</v>
      </c>
      <c r="B71">
        <v>2119</v>
      </c>
      <c r="C71">
        <v>221400</v>
      </c>
      <c r="D71">
        <v>29</v>
      </c>
      <c r="E71">
        <v>2119</v>
      </c>
      <c r="G71" t="s">
        <v>471</v>
      </c>
      <c r="H71" t="s">
        <v>472</v>
      </c>
      <c r="I71" t="s">
        <v>9</v>
      </c>
    </row>
    <row r="72" spans="1:9" x14ac:dyDescent="0.2">
      <c r="A72" t="s">
        <v>6</v>
      </c>
      <c r="B72">
        <v>3349</v>
      </c>
      <c r="C72">
        <v>1645255</v>
      </c>
      <c r="D72">
        <v>10</v>
      </c>
      <c r="E72">
        <v>3349</v>
      </c>
      <c r="G72" t="s">
        <v>492</v>
      </c>
      <c r="H72" t="s">
        <v>493</v>
      </c>
      <c r="I72" t="s">
        <v>9</v>
      </c>
    </row>
    <row r="73" spans="1:9" x14ac:dyDescent="0.2">
      <c r="A73" t="s">
        <v>6</v>
      </c>
      <c r="B73">
        <v>5</v>
      </c>
      <c r="C73">
        <v>3160</v>
      </c>
      <c r="D73">
        <v>12</v>
      </c>
      <c r="E73">
        <v>5</v>
      </c>
      <c r="G73" t="s">
        <v>462</v>
      </c>
      <c r="H73" t="s">
        <v>463</v>
      </c>
      <c r="I73" t="s">
        <v>9</v>
      </c>
    </row>
    <row r="74" spans="1:9" x14ac:dyDescent="0.2">
      <c r="A74" t="s">
        <v>6</v>
      </c>
      <c r="B74">
        <v>54</v>
      </c>
      <c r="C74">
        <v>5728</v>
      </c>
      <c r="D74">
        <v>27</v>
      </c>
      <c r="E74">
        <v>54</v>
      </c>
      <c r="G74" t="s">
        <v>467</v>
      </c>
      <c r="H74" t="s">
        <v>458</v>
      </c>
      <c r="I74" t="s">
        <v>9</v>
      </c>
    </row>
    <row r="75" spans="1:9" x14ac:dyDescent="0.2">
      <c r="A75" t="s">
        <v>6</v>
      </c>
      <c r="B75">
        <v>450</v>
      </c>
      <c r="C75">
        <v>216640</v>
      </c>
      <c r="D75">
        <v>32</v>
      </c>
      <c r="E75">
        <v>450</v>
      </c>
      <c r="G75" t="s">
        <v>479</v>
      </c>
      <c r="H75" t="s">
        <v>463</v>
      </c>
      <c r="I75" t="s">
        <v>9</v>
      </c>
    </row>
    <row r="76" spans="1:9" x14ac:dyDescent="0.2">
      <c r="A76" t="s">
        <v>6</v>
      </c>
      <c r="B76">
        <v>41</v>
      </c>
      <c r="C76">
        <v>10716</v>
      </c>
      <c r="D76">
        <v>12</v>
      </c>
      <c r="E76">
        <v>41</v>
      </c>
      <c r="G76" t="s">
        <v>466</v>
      </c>
      <c r="H76" t="s">
        <v>458</v>
      </c>
      <c r="I76" t="s">
        <v>9</v>
      </c>
    </row>
    <row r="77" spans="1:9" x14ac:dyDescent="0.2">
      <c r="A77" t="s">
        <v>6</v>
      </c>
      <c r="B77">
        <v>256</v>
      </c>
      <c r="C77">
        <v>51171</v>
      </c>
      <c r="D77">
        <v>4</v>
      </c>
      <c r="E77">
        <v>256</v>
      </c>
      <c r="G77" t="s">
        <v>487</v>
      </c>
      <c r="H77" t="s">
        <v>463</v>
      </c>
      <c r="I77" t="s">
        <v>9</v>
      </c>
    </row>
    <row r="78" spans="1:9" x14ac:dyDescent="0.2">
      <c r="A78" t="s">
        <v>6</v>
      </c>
      <c r="B78">
        <v>402</v>
      </c>
      <c r="C78">
        <v>41834</v>
      </c>
      <c r="D78">
        <v>287</v>
      </c>
      <c r="E78">
        <v>402</v>
      </c>
      <c r="G78" t="s">
        <v>488</v>
      </c>
      <c r="H78" t="s">
        <v>489</v>
      </c>
      <c r="I78" t="s">
        <v>9</v>
      </c>
    </row>
    <row r="79" spans="1:9" x14ac:dyDescent="0.2">
      <c r="A79" t="s">
        <v>6</v>
      </c>
      <c r="B79">
        <v>10650</v>
      </c>
      <c r="C79">
        <v>5175160</v>
      </c>
      <c r="D79">
        <v>8</v>
      </c>
      <c r="E79">
        <v>10650</v>
      </c>
      <c r="G79" t="s">
        <v>474</v>
      </c>
      <c r="H79" t="s">
        <v>475</v>
      </c>
      <c r="I79" t="s">
        <v>9</v>
      </c>
    </row>
    <row r="80" spans="1:9" x14ac:dyDescent="0.2">
      <c r="A80" t="s">
        <v>6</v>
      </c>
      <c r="B80">
        <v>18</v>
      </c>
      <c r="C80">
        <v>4760</v>
      </c>
      <c r="D80">
        <v>10</v>
      </c>
      <c r="E80">
        <v>18</v>
      </c>
      <c r="G80" t="s">
        <v>457</v>
      </c>
      <c r="H80" t="s">
        <v>458</v>
      </c>
      <c r="I80" t="s">
        <v>9</v>
      </c>
    </row>
    <row r="81" spans="1:9" x14ac:dyDescent="0.2">
      <c r="A81" t="s">
        <v>6</v>
      </c>
      <c r="B81">
        <v>8317</v>
      </c>
      <c r="C81">
        <v>4540561</v>
      </c>
      <c r="D81">
        <v>63</v>
      </c>
      <c r="E81">
        <v>8317</v>
      </c>
      <c r="G81" t="s">
        <v>461</v>
      </c>
      <c r="H81" t="s">
        <v>460</v>
      </c>
      <c r="I81" t="s">
        <v>9</v>
      </c>
    </row>
    <row r="82" spans="1:9" x14ac:dyDescent="0.2">
      <c r="A82" t="s">
        <v>6</v>
      </c>
      <c r="B82">
        <v>0</v>
      </c>
      <c r="C82">
        <v>69</v>
      </c>
      <c r="D82">
        <v>1</v>
      </c>
      <c r="E82">
        <v>0</v>
      </c>
      <c r="G82" t="s">
        <v>487</v>
      </c>
      <c r="H82" t="s">
        <v>471</v>
      </c>
      <c r="I82" t="s">
        <v>9</v>
      </c>
    </row>
    <row r="83" spans="1:9" x14ac:dyDescent="0.2">
      <c r="A83" t="s">
        <v>6</v>
      </c>
      <c r="B83">
        <v>10458</v>
      </c>
      <c r="C83">
        <v>5082340</v>
      </c>
      <c r="D83">
        <v>8</v>
      </c>
      <c r="E83">
        <v>10458</v>
      </c>
      <c r="G83" t="s">
        <v>474</v>
      </c>
      <c r="H83" t="s">
        <v>475</v>
      </c>
      <c r="I83" t="s">
        <v>9</v>
      </c>
    </row>
    <row r="84" spans="1:9" x14ac:dyDescent="0.2">
      <c r="A84" t="s">
        <v>6</v>
      </c>
      <c r="B84">
        <v>150</v>
      </c>
      <c r="C84">
        <v>59551</v>
      </c>
      <c r="D84">
        <v>7</v>
      </c>
      <c r="E84">
        <v>150</v>
      </c>
      <c r="G84" t="s">
        <v>463</v>
      </c>
      <c r="H84" t="s">
        <v>469</v>
      </c>
      <c r="I84" t="s">
        <v>9</v>
      </c>
    </row>
    <row r="85" spans="1:9" x14ac:dyDescent="0.2">
      <c r="A85" t="s">
        <v>6</v>
      </c>
      <c r="B85">
        <v>241</v>
      </c>
      <c r="C85">
        <v>82903</v>
      </c>
      <c r="D85">
        <v>111</v>
      </c>
      <c r="E85">
        <v>241</v>
      </c>
      <c r="G85" t="s">
        <v>491</v>
      </c>
      <c r="H85" t="s">
        <v>465</v>
      </c>
      <c r="I85" t="s">
        <v>9</v>
      </c>
    </row>
    <row r="86" spans="1:9" x14ac:dyDescent="0.2">
      <c r="A86" t="s">
        <v>6</v>
      </c>
      <c r="B86">
        <v>41593</v>
      </c>
      <c r="C86">
        <v>38143192</v>
      </c>
      <c r="D86">
        <v>21</v>
      </c>
      <c r="E86">
        <v>41593</v>
      </c>
      <c r="G86" t="s">
        <v>459</v>
      </c>
      <c r="H86" t="s">
        <v>461</v>
      </c>
      <c r="I86" t="s">
        <v>9</v>
      </c>
    </row>
    <row r="87" spans="1:9" x14ac:dyDescent="0.2">
      <c r="A87" t="s">
        <v>6</v>
      </c>
      <c r="B87">
        <v>16</v>
      </c>
      <c r="C87">
        <v>4320</v>
      </c>
      <c r="D87">
        <v>10</v>
      </c>
      <c r="E87">
        <v>16</v>
      </c>
      <c r="G87" t="s">
        <v>457</v>
      </c>
      <c r="H87" t="s">
        <v>458</v>
      </c>
      <c r="I87" t="s">
        <v>9</v>
      </c>
    </row>
    <row r="88" spans="1:9" x14ac:dyDescent="0.2">
      <c r="A88" t="s">
        <v>6</v>
      </c>
      <c r="B88">
        <v>1094</v>
      </c>
      <c r="C88">
        <v>133343</v>
      </c>
      <c r="D88">
        <v>27</v>
      </c>
      <c r="E88">
        <v>1094</v>
      </c>
      <c r="G88" t="s">
        <v>467</v>
      </c>
      <c r="H88" t="s">
        <v>458</v>
      </c>
      <c r="I88" t="s">
        <v>9</v>
      </c>
    </row>
    <row r="89" spans="1:9" x14ac:dyDescent="0.2">
      <c r="A89" t="s">
        <v>6</v>
      </c>
      <c r="B89">
        <v>2089</v>
      </c>
      <c r="C89">
        <v>784901</v>
      </c>
      <c r="D89">
        <v>32</v>
      </c>
      <c r="E89">
        <v>2089</v>
      </c>
      <c r="G89" t="s">
        <v>479</v>
      </c>
      <c r="H89" t="s">
        <v>463</v>
      </c>
      <c r="I89" t="s">
        <v>9</v>
      </c>
    </row>
    <row r="90" spans="1:9" x14ac:dyDescent="0.2">
      <c r="A90" t="s">
        <v>6</v>
      </c>
      <c r="B90">
        <v>921</v>
      </c>
      <c r="C90">
        <v>599726</v>
      </c>
      <c r="D90">
        <v>31</v>
      </c>
      <c r="E90">
        <v>921</v>
      </c>
      <c r="G90" t="s">
        <v>470</v>
      </c>
      <c r="H90" t="s">
        <v>471</v>
      </c>
      <c r="I90" t="s">
        <v>9</v>
      </c>
    </row>
    <row r="91" spans="1:9" x14ac:dyDescent="0.2">
      <c r="A91" t="s">
        <v>6</v>
      </c>
      <c r="B91">
        <v>128</v>
      </c>
      <c r="C91">
        <v>54778</v>
      </c>
      <c r="D91">
        <v>32</v>
      </c>
      <c r="E91">
        <v>128</v>
      </c>
      <c r="G91" t="s">
        <v>481</v>
      </c>
      <c r="H91" t="s">
        <v>484</v>
      </c>
      <c r="I91" t="s">
        <v>9</v>
      </c>
    </row>
    <row r="92" spans="1:9" x14ac:dyDescent="0.2">
      <c r="A92" t="s">
        <v>6</v>
      </c>
      <c r="B92">
        <v>41597</v>
      </c>
      <c r="C92">
        <v>4358396</v>
      </c>
      <c r="D92">
        <v>21</v>
      </c>
      <c r="E92">
        <v>41597</v>
      </c>
      <c r="G92" t="s">
        <v>459</v>
      </c>
      <c r="H92" t="s">
        <v>461</v>
      </c>
      <c r="I92" t="s">
        <v>9</v>
      </c>
    </row>
    <row r="93" spans="1:9" x14ac:dyDescent="0.2">
      <c r="A93" t="s">
        <v>6</v>
      </c>
      <c r="B93">
        <v>1588</v>
      </c>
      <c r="C93">
        <v>675371</v>
      </c>
      <c r="D93">
        <v>31</v>
      </c>
      <c r="E93">
        <v>1588</v>
      </c>
      <c r="G93" t="s">
        <v>470</v>
      </c>
      <c r="H93" t="s">
        <v>471</v>
      </c>
      <c r="I93" t="s">
        <v>9</v>
      </c>
    </row>
    <row r="94" spans="1:9" x14ac:dyDescent="0.2">
      <c r="A94" t="s">
        <v>6</v>
      </c>
      <c r="B94">
        <v>0</v>
      </c>
      <c r="C94">
        <v>4</v>
      </c>
      <c r="D94">
        <v>2</v>
      </c>
      <c r="E94">
        <v>0</v>
      </c>
      <c r="G94" t="s">
        <v>494</v>
      </c>
      <c r="H94" t="s">
        <v>462</v>
      </c>
      <c r="I94" t="s">
        <v>9</v>
      </c>
    </row>
    <row r="95" spans="1:9" x14ac:dyDescent="0.2">
      <c r="A95" t="s">
        <v>6</v>
      </c>
      <c r="B95">
        <v>181</v>
      </c>
      <c r="C95">
        <v>99517</v>
      </c>
      <c r="D95">
        <v>40</v>
      </c>
      <c r="E95">
        <v>181</v>
      </c>
      <c r="G95" t="s">
        <v>479</v>
      </c>
      <c r="H95" t="s">
        <v>480</v>
      </c>
      <c r="I95" t="s">
        <v>9</v>
      </c>
    </row>
    <row r="96" spans="1:9" x14ac:dyDescent="0.2">
      <c r="A96" t="s">
        <v>6</v>
      </c>
      <c r="B96">
        <v>137</v>
      </c>
      <c r="C96">
        <v>18776</v>
      </c>
      <c r="D96">
        <v>105</v>
      </c>
      <c r="E96">
        <v>137</v>
      </c>
      <c r="G96" t="s">
        <v>495</v>
      </c>
      <c r="H96" t="s">
        <v>496</v>
      </c>
      <c r="I96" t="s">
        <v>9</v>
      </c>
    </row>
    <row r="97" spans="1:9" x14ac:dyDescent="0.2">
      <c r="A97" t="s">
        <v>6</v>
      </c>
      <c r="B97">
        <v>6205</v>
      </c>
      <c r="C97">
        <v>650317</v>
      </c>
      <c r="D97">
        <v>63</v>
      </c>
      <c r="E97">
        <v>6205</v>
      </c>
      <c r="G97" t="s">
        <v>461</v>
      </c>
      <c r="H97" t="s">
        <v>460</v>
      </c>
      <c r="I97" t="s">
        <v>9</v>
      </c>
    </row>
    <row r="98" spans="1:9" x14ac:dyDescent="0.2">
      <c r="A98" t="s">
        <v>6</v>
      </c>
      <c r="B98">
        <v>248</v>
      </c>
      <c r="C98">
        <v>197575</v>
      </c>
      <c r="D98">
        <v>26</v>
      </c>
      <c r="E98">
        <v>248</v>
      </c>
      <c r="G98" t="s">
        <v>482</v>
      </c>
      <c r="H98" t="s">
        <v>471</v>
      </c>
      <c r="I98" t="s">
        <v>9</v>
      </c>
    </row>
    <row r="99" spans="1:9" x14ac:dyDescent="0.2">
      <c r="A99" t="s">
        <v>6</v>
      </c>
      <c r="B99">
        <v>9067</v>
      </c>
      <c r="C99">
        <v>950949</v>
      </c>
      <c r="D99">
        <v>84</v>
      </c>
      <c r="E99">
        <v>9067</v>
      </c>
      <c r="G99" t="s">
        <v>459</v>
      </c>
      <c r="H99" t="s">
        <v>460</v>
      </c>
      <c r="I99" t="s">
        <v>9</v>
      </c>
    </row>
    <row r="100" spans="1:9" x14ac:dyDescent="0.2">
      <c r="A100" t="s">
        <v>6</v>
      </c>
      <c r="B100">
        <v>293</v>
      </c>
      <c r="C100">
        <v>133320</v>
      </c>
      <c r="D100">
        <v>226</v>
      </c>
      <c r="E100">
        <v>293</v>
      </c>
      <c r="G100" t="s">
        <v>464</v>
      </c>
      <c r="H100" t="s">
        <v>465</v>
      </c>
      <c r="I100" t="s">
        <v>9</v>
      </c>
    </row>
    <row r="101" spans="1:9" x14ac:dyDescent="0.2">
      <c r="A101" t="s">
        <v>6</v>
      </c>
      <c r="B101">
        <v>66</v>
      </c>
      <c r="C101">
        <v>11927</v>
      </c>
      <c r="D101">
        <v>6</v>
      </c>
      <c r="E101">
        <v>66</v>
      </c>
      <c r="G101" t="s">
        <v>497</v>
      </c>
      <c r="H101" t="s">
        <v>498</v>
      </c>
      <c r="I101" t="s">
        <v>9</v>
      </c>
    </row>
    <row r="102" spans="1:9" x14ac:dyDescent="0.2">
      <c r="A102" t="s">
        <v>6</v>
      </c>
      <c r="B102">
        <v>350</v>
      </c>
      <c r="C102">
        <v>763826</v>
      </c>
      <c r="D102">
        <v>3</v>
      </c>
      <c r="E102">
        <v>350</v>
      </c>
      <c r="G102" t="s">
        <v>481</v>
      </c>
      <c r="H102" t="s">
        <v>487</v>
      </c>
      <c r="I102" t="s">
        <v>9</v>
      </c>
    </row>
    <row r="103" spans="1:9" x14ac:dyDescent="0.2">
      <c r="A103" t="s">
        <v>6</v>
      </c>
      <c r="B103">
        <v>331</v>
      </c>
      <c r="C103">
        <v>37645</v>
      </c>
      <c r="D103">
        <v>27</v>
      </c>
      <c r="E103">
        <v>331</v>
      </c>
      <c r="G103" t="s">
        <v>467</v>
      </c>
      <c r="H103" t="s">
        <v>458</v>
      </c>
      <c r="I103" t="s">
        <v>9</v>
      </c>
    </row>
    <row r="104" spans="1:9" x14ac:dyDescent="0.2">
      <c r="A104" t="s">
        <v>6</v>
      </c>
      <c r="B104">
        <v>20</v>
      </c>
      <c r="C104">
        <v>27079</v>
      </c>
      <c r="D104">
        <v>2</v>
      </c>
      <c r="E104">
        <v>20</v>
      </c>
      <c r="G104" t="s">
        <v>491</v>
      </c>
      <c r="H104" t="s">
        <v>480</v>
      </c>
      <c r="I104" t="s">
        <v>9</v>
      </c>
    </row>
    <row r="105" spans="1:9" x14ac:dyDescent="0.2">
      <c r="A105" t="s">
        <v>6</v>
      </c>
      <c r="B105">
        <v>2969</v>
      </c>
      <c r="C105">
        <v>1175396</v>
      </c>
      <c r="D105">
        <v>29</v>
      </c>
      <c r="E105">
        <v>2969</v>
      </c>
      <c r="G105" t="s">
        <v>471</v>
      </c>
      <c r="H105" t="s">
        <v>472</v>
      </c>
      <c r="I105" t="s">
        <v>9</v>
      </c>
    </row>
    <row r="106" spans="1:9" x14ac:dyDescent="0.2">
      <c r="A106" t="s">
        <v>6</v>
      </c>
      <c r="B106">
        <v>108</v>
      </c>
      <c r="C106">
        <v>79247</v>
      </c>
      <c r="D106">
        <v>14</v>
      </c>
      <c r="E106">
        <v>108</v>
      </c>
      <c r="G106" t="s">
        <v>499</v>
      </c>
      <c r="H106" t="s">
        <v>495</v>
      </c>
      <c r="I106" t="s">
        <v>9</v>
      </c>
    </row>
    <row r="107" spans="1:9" x14ac:dyDescent="0.2">
      <c r="A107" t="s">
        <v>6</v>
      </c>
      <c r="B107">
        <v>37</v>
      </c>
      <c r="C107">
        <v>9752</v>
      </c>
      <c r="D107">
        <v>10</v>
      </c>
      <c r="E107">
        <v>37</v>
      </c>
      <c r="G107" t="s">
        <v>457</v>
      </c>
      <c r="H107" t="s">
        <v>458</v>
      </c>
      <c r="I107" t="s">
        <v>9</v>
      </c>
    </row>
    <row r="108" spans="1:9" x14ac:dyDescent="0.2">
      <c r="A108" t="s">
        <v>6</v>
      </c>
      <c r="B108">
        <v>175</v>
      </c>
      <c r="C108">
        <v>277893</v>
      </c>
      <c r="D108">
        <v>9</v>
      </c>
      <c r="E108">
        <v>175</v>
      </c>
      <c r="G108" t="s">
        <v>500</v>
      </c>
      <c r="H108" t="s">
        <v>484</v>
      </c>
      <c r="I108" t="s">
        <v>9</v>
      </c>
    </row>
    <row r="109" spans="1:9" x14ac:dyDescent="0.2">
      <c r="A109" t="s">
        <v>6</v>
      </c>
      <c r="B109">
        <v>55</v>
      </c>
      <c r="C109">
        <v>32417</v>
      </c>
      <c r="D109">
        <v>226</v>
      </c>
      <c r="E109">
        <v>55</v>
      </c>
      <c r="G109" t="s">
        <v>464</v>
      </c>
      <c r="H109" t="s">
        <v>465</v>
      </c>
      <c r="I109" t="s">
        <v>9</v>
      </c>
    </row>
    <row r="110" spans="1:9" x14ac:dyDescent="0.2">
      <c r="A110" t="s">
        <v>6</v>
      </c>
      <c r="B110">
        <v>3</v>
      </c>
      <c r="C110">
        <v>1816</v>
      </c>
      <c r="D110">
        <v>27</v>
      </c>
      <c r="E110">
        <v>3</v>
      </c>
      <c r="G110" t="s">
        <v>501</v>
      </c>
      <c r="H110" t="s">
        <v>487</v>
      </c>
      <c r="I110" t="s">
        <v>9</v>
      </c>
    </row>
    <row r="111" spans="1:9" x14ac:dyDescent="0.2">
      <c r="A111" t="s">
        <v>6</v>
      </c>
      <c r="B111">
        <v>609</v>
      </c>
      <c r="C111">
        <v>398439</v>
      </c>
      <c r="D111">
        <v>26</v>
      </c>
      <c r="E111">
        <v>609</v>
      </c>
      <c r="G111" t="s">
        <v>482</v>
      </c>
      <c r="H111" t="s">
        <v>471</v>
      </c>
      <c r="I111" t="s">
        <v>9</v>
      </c>
    </row>
    <row r="112" spans="1:9" x14ac:dyDescent="0.2">
      <c r="A112" t="s">
        <v>6</v>
      </c>
      <c r="B112">
        <v>893</v>
      </c>
      <c r="C112">
        <v>685838</v>
      </c>
      <c r="D112">
        <v>26</v>
      </c>
      <c r="E112">
        <v>893</v>
      </c>
      <c r="G112" t="s">
        <v>482</v>
      </c>
      <c r="H112" t="s">
        <v>471</v>
      </c>
      <c r="I112" t="s">
        <v>9</v>
      </c>
    </row>
    <row r="113" spans="1:9" x14ac:dyDescent="0.2">
      <c r="A113" t="s">
        <v>6</v>
      </c>
      <c r="B113">
        <v>248</v>
      </c>
      <c r="C113">
        <v>77358</v>
      </c>
      <c r="D113">
        <v>3</v>
      </c>
      <c r="E113">
        <v>248</v>
      </c>
      <c r="G113" t="s">
        <v>502</v>
      </c>
      <c r="H113" t="s">
        <v>480</v>
      </c>
      <c r="I113" t="s">
        <v>9</v>
      </c>
    </row>
    <row r="114" spans="1:9" x14ac:dyDescent="0.2">
      <c r="A114" t="s">
        <v>6</v>
      </c>
      <c r="B114">
        <v>1</v>
      </c>
      <c r="C114">
        <v>284</v>
      </c>
      <c r="D114">
        <v>10</v>
      </c>
      <c r="E114">
        <v>1</v>
      </c>
      <c r="G114" t="s">
        <v>457</v>
      </c>
      <c r="H114" t="s">
        <v>458</v>
      </c>
      <c r="I114" t="s">
        <v>9</v>
      </c>
    </row>
    <row r="115" spans="1:9" x14ac:dyDescent="0.2">
      <c r="A115" t="s">
        <v>6</v>
      </c>
      <c r="B115">
        <v>912</v>
      </c>
      <c r="C115">
        <v>589126</v>
      </c>
      <c r="D115">
        <v>26</v>
      </c>
      <c r="E115">
        <v>912</v>
      </c>
      <c r="G115" t="s">
        <v>482</v>
      </c>
      <c r="H115" t="s">
        <v>471</v>
      </c>
      <c r="I115" t="s">
        <v>9</v>
      </c>
    </row>
    <row r="116" spans="1:9" x14ac:dyDescent="0.2">
      <c r="A116" t="s">
        <v>6</v>
      </c>
      <c r="B116">
        <v>41596</v>
      </c>
      <c r="C116">
        <v>4356040</v>
      </c>
      <c r="D116">
        <v>21</v>
      </c>
      <c r="E116">
        <v>41596</v>
      </c>
      <c r="G116" t="s">
        <v>459</v>
      </c>
      <c r="H116" t="s">
        <v>461</v>
      </c>
      <c r="I116" t="s">
        <v>9</v>
      </c>
    </row>
    <row r="117" spans="1:9" x14ac:dyDescent="0.2">
      <c r="A117" t="s">
        <v>6</v>
      </c>
      <c r="B117">
        <v>283</v>
      </c>
      <c r="C117">
        <v>93216</v>
      </c>
      <c r="D117">
        <v>2</v>
      </c>
      <c r="E117">
        <v>283</v>
      </c>
      <c r="G117" t="s">
        <v>502</v>
      </c>
      <c r="H117" t="s">
        <v>469</v>
      </c>
      <c r="I117" t="s">
        <v>9</v>
      </c>
    </row>
    <row r="118" spans="1:9" x14ac:dyDescent="0.2">
      <c r="A118" t="s">
        <v>6</v>
      </c>
      <c r="B118">
        <v>102</v>
      </c>
      <c r="C118">
        <v>103517</v>
      </c>
      <c r="D118">
        <v>31</v>
      </c>
      <c r="E118">
        <v>102</v>
      </c>
      <c r="G118" t="s">
        <v>470</v>
      </c>
      <c r="H118" t="s">
        <v>471</v>
      </c>
      <c r="I118" t="s">
        <v>9</v>
      </c>
    </row>
    <row r="119" spans="1:9" x14ac:dyDescent="0.2">
      <c r="A119" t="s">
        <v>6</v>
      </c>
      <c r="B119">
        <v>493</v>
      </c>
      <c r="C119">
        <v>184435</v>
      </c>
      <c r="D119">
        <v>40</v>
      </c>
      <c r="E119">
        <v>493</v>
      </c>
      <c r="G119" t="s">
        <v>479</v>
      </c>
      <c r="H119" t="s">
        <v>480</v>
      </c>
      <c r="I119" t="s">
        <v>9</v>
      </c>
    </row>
    <row r="120" spans="1:9" x14ac:dyDescent="0.2">
      <c r="A120" t="s">
        <v>6</v>
      </c>
      <c r="B120">
        <v>22</v>
      </c>
      <c r="C120">
        <v>6736</v>
      </c>
      <c r="D120">
        <v>111</v>
      </c>
      <c r="E120">
        <v>22</v>
      </c>
      <c r="G120" t="s">
        <v>491</v>
      </c>
      <c r="H120" t="s">
        <v>465</v>
      </c>
      <c r="I120" t="s">
        <v>9</v>
      </c>
    </row>
    <row r="121" spans="1:9" x14ac:dyDescent="0.2">
      <c r="A121" t="s">
        <v>6</v>
      </c>
      <c r="B121">
        <v>96</v>
      </c>
      <c r="C121">
        <v>70759</v>
      </c>
      <c r="D121">
        <v>14</v>
      </c>
      <c r="E121">
        <v>96</v>
      </c>
      <c r="G121" t="s">
        <v>499</v>
      </c>
      <c r="H121" t="s">
        <v>495</v>
      </c>
      <c r="I121" t="s">
        <v>9</v>
      </c>
    </row>
    <row r="122" spans="1:9" x14ac:dyDescent="0.2">
      <c r="A122" t="s">
        <v>6</v>
      </c>
      <c r="B122">
        <v>97</v>
      </c>
      <c r="C122">
        <v>75188</v>
      </c>
      <c r="D122">
        <v>287</v>
      </c>
      <c r="E122">
        <v>97</v>
      </c>
      <c r="G122" t="s">
        <v>488</v>
      </c>
      <c r="H122" t="s">
        <v>489</v>
      </c>
      <c r="I122" t="s">
        <v>9</v>
      </c>
    </row>
    <row r="123" spans="1:9" x14ac:dyDescent="0.2">
      <c r="A123" t="s">
        <v>6</v>
      </c>
      <c r="B123">
        <v>3389</v>
      </c>
      <c r="C123">
        <v>2308621</v>
      </c>
      <c r="D123">
        <v>17</v>
      </c>
      <c r="E123">
        <v>3389</v>
      </c>
      <c r="G123" t="s">
        <v>503</v>
      </c>
      <c r="H123" t="s">
        <v>474</v>
      </c>
      <c r="I123" t="s">
        <v>9</v>
      </c>
    </row>
    <row r="124" spans="1:9" x14ac:dyDescent="0.2">
      <c r="A124" t="s">
        <v>6</v>
      </c>
      <c r="B124">
        <v>28872</v>
      </c>
      <c r="C124">
        <v>2967735</v>
      </c>
      <c r="D124">
        <v>8</v>
      </c>
      <c r="E124">
        <v>28872</v>
      </c>
      <c r="G124" t="s">
        <v>474</v>
      </c>
      <c r="H124" t="s">
        <v>475</v>
      </c>
      <c r="I124" t="s">
        <v>9</v>
      </c>
    </row>
    <row r="125" spans="1:9" x14ac:dyDescent="0.2">
      <c r="A125" t="s">
        <v>6</v>
      </c>
      <c r="B125">
        <v>370</v>
      </c>
      <c r="C125">
        <v>221329</v>
      </c>
      <c r="D125">
        <v>12</v>
      </c>
      <c r="E125">
        <v>370</v>
      </c>
      <c r="G125" t="s">
        <v>462</v>
      </c>
      <c r="H125" t="s">
        <v>463</v>
      </c>
      <c r="I125" t="s">
        <v>9</v>
      </c>
    </row>
    <row r="126" spans="1:9" x14ac:dyDescent="0.2">
      <c r="A126" t="s">
        <v>6</v>
      </c>
      <c r="B126">
        <v>0</v>
      </c>
      <c r="C126">
        <v>1</v>
      </c>
      <c r="D126">
        <v>10</v>
      </c>
      <c r="E126">
        <v>0</v>
      </c>
      <c r="G126" t="s">
        <v>492</v>
      </c>
      <c r="H126" t="s">
        <v>493</v>
      </c>
      <c r="I126" t="s">
        <v>9</v>
      </c>
    </row>
    <row r="127" spans="1:9" x14ac:dyDescent="0.2">
      <c r="A127" t="s">
        <v>6</v>
      </c>
      <c r="B127">
        <v>48</v>
      </c>
      <c r="C127">
        <v>29578</v>
      </c>
      <c r="D127">
        <v>226</v>
      </c>
      <c r="E127">
        <v>48</v>
      </c>
      <c r="G127" t="s">
        <v>464</v>
      </c>
      <c r="H127" t="s">
        <v>465</v>
      </c>
      <c r="I127" t="s">
        <v>9</v>
      </c>
    </row>
    <row r="128" spans="1:9" x14ac:dyDescent="0.2">
      <c r="A128" t="s">
        <v>6</v>
      </c>
      <c r="B128">
        <v>65</v>
      </c>
      <c r="C128">
        <v>66940</v>
      </c>
      <c r="D128">
        <v>31</v>
      </c>
      <c r="E128">
        <v>65</v>
      </c>
      <c r="G128" t="s">
        <v>470</v>
      </c>
      <c r="H128" t="s">
        <v>471</v>
      </c>
      <c r="I128" t="s">
        <v>9</v>
      </c>
    </row>
    <row r="129" spans="1:9" x14ac:dyDescent="0.2">
      <c r="A129" t="s">
        <v>6</v>
      </c>
      <c r="B129">
        <v>196</v>
      </c>
      <c r="C129">
        <v>108352</v>
      </c>
      <c r="D129">
        <v>40</v>
      </c>
      <c r="E129">
        <v>196</v>
      </c>
      <c r="G129" t="s">
        <v>479</v>
      </c>
      <c r="H129" t="s">
        <v>480</v>
      </c>
      <c r="I129" t="s">
        <v>9</v>
      </c>
    </row>
    <row r="130" spans="1:9" x14ac:dyDescent="0.2">
      <c r="A130" t="s">
        <v>6</v>
      </c>
      <c r="B130">
        <v>153</v>
      </c>
      <c r="C130">
        <v>67298</v>
      </c>
      <c r="D130">
        <v>32</v>
      </c>
      <c r="E130">
        <v>153</v>
      </c>
      <c r="G130" t="s">
        <v>481</v>
      </c>
      <c r="H130" t="s">
        <v>484</v>
      </c>
      <c r="I130" t="s">
        <v>9</v>
      </c>
    </row>
    <row r="131" spans="1:9" x14ac:dyDescent="0.2">
      <c r="A131" t="s">
        <v>6</v>
      </c>
      <c r="B131">
        <v>391</v>
      </c>
      <c r="C131">
        <v>205568</v>
      </c>
      <c r="D131">
        <v>226</v>
      </c>
      <c r="E131">
        <v>391</v>
      </c>
      <c r="G131" t="s">
        <v>464</v>
      </c>
      <c r="H131" t="s">
        <v>465</v>
      </c>
      <c r="I131" t="s">
        <v>9</v>
      </c>
    </row>
    <row r="132" spans="1:9" x14ac:dyDescent="0.2">
      <c r="A132" t="s">
        <v>6</v>
      </c>
      <c r="B132">
        <v>154</v>
      </c>
      <c r="C132">
        <v>27521</v>
      </c>
      <c r="D132">
        <v>105</v>
      </c>
      <c r="E132">
        <v>154</v>
      </c>
      <c r="G132" t="s">
        <v>495</v>
      </c>
      <c r="H132" t="s">
        <v>496</v>
      </c>
      <c r="I132" t="s">
        <v>9</v>
      </c>
    </row>
    <row r="133" spans="1:9" x14ac:dyDescent="0.2">
      <c r="A133" t="s">
        <v>6</v>
      </c>
      <c r="B133">
        <v>1282</v>
      </c>
      <c r="C133">
        <v>1185651</v>
      </c>
      <c r="D133">
        <v>63</v>
      </c>
      <c r="E133">
        <v>1282</v>
      </c>
      <c r="G133" t="s">
        <v>461</v>
      </c>
      <c r="H133" t="s">
        <v>460</v>
      </c>
      <c r="I133" t="s">
        <v>9</v>
      </c>
    </row>
    <row r="134" spans="1:9" x14ac:dyDescent="0.2">
      <c r="A134" t="s">
        <v>6</v>
      </c>
      <c r="B134">
        <v>189</v>
      </c>
      <c r="C134">
        <v>165080</v>
      </c>
      <c r="D134">
        <v>31</v>
      </c>
      <c r="E134">
        <v>189</v>
      </c>
      <c r="G134" t="s">
        <v>470</v>
      </c>
      <c r="H134" t="s">
        <v>471</v>
      </c>
      <c r="I134" t="s">
        <v>9</v>
      </c>
    </row>
    <row r="135" spans="1:9" x14ac:dyDescent="0.2">
      <c r="A135" t="s">
        <v>6</v>
      </c>
      <c r="B135">
        <v>1</v>
      </c>
      <c r="C135">
        <v>332</v>
      </c>
      <c r="D135">
        <v>10</v>
      </c>
      <c r="E135">
        <v>1</v>
      </c>
      <c r="G135" t="s">
        <v>457</v>
      </c>
      <c r="H135" t="s">
        <v>458</v>
      </c>
      <c r="I135" t="s">
        <v>9</v>
      </c>
    </row>
    <row r="136" spans="1:9" x14ac:dyDescent="0.2">
      <c r="A136" t="s">
        <v>6</v>
      </c>
      <c r="B136">
        <v>200</v>
      </c>
      <c r="C136">
        <v>80659</v>
      </c>
      <c r="D136">
        <v>26</v>
      </c>
      <c r="E136">
        <v>200</v>
      </c>
      <c r="G136" t="s">
        <v>498</v>
      </c>
      <c r="H136" t="s">
        <v>469</v>
      </c>
      <c r="I136" t="s">
        <v>9</v>
      </c>
    </row>
    <row r="137" spans="1:9" x14ac:dyDescent="0.2">
      <c r="A137" t="s">
        <v>6</v>
      </c>
      <c r="B137">
        <v>16192</v>
      </c>
      <c r="C137">
        <v>1681141</v>
      </c>
      <c r="D137">
        <v>8</v>
      </c>
      <c r="E137">
        <v>16192</v>
      </c>
      <c r="G137" t="s">
        <v>474</v>
      </c>
      <c r="H137" t="s">
        <v>475</v>
      </c>
      <c r="I137" t="s">
        <v>9</v>
      </c>
    </row>
    <row r="138" spans="1:9" x14ac:dyDescent="0.2">
      <c r="A138" t="s">
        <v>6</v>
      </c>
      <c r="B138">
        <v>934</v>
      </c>
      <c r="C138">
        <v>465849</v>
      </c>
      <c r="D138">
        <v>12</v>
      </c>
      <c r="E138">
        <v>934</v>
      </c>
      <c r="G138" t="s">
        <v>473</v>
      </c>
      <c r="H138" t="s">
        <v>471</v>
      </c>
      <c r="I138" t="s">
        <v>9</v>
      </c>
    </row>
    <row r="139" spans="1:9" x14ac:dyDescent="0.2">
      <c r="A139" t="s">
        <v>6</v>
      </c>
      <c r="B139">
        <v>7272</v>
      </c>
      <c r="C139">
        <v>6896574</v>
      </c>
      <c r="D139">
        <v>63</v>
      </c>
      <c r="E139">
        <v>7272</v>
      </c>
      <c r="G139" t="s">
        <v>461</v>
      </c>
      <c r="H139" t="s">
        <v>460</v>
      </c>
      <c r="I139" t="s">
        <v>9</v>
      </c>
    </row>
    <row r="140" spans="1:9" x14ac:dyDescent="0.2">
      <c r="A140" t="s">
        <v>6</v>
      </c>
      <c r="B140">
        <v>2757</v>
      </c>
      <c r="C140">
        <v>2276323</v>
      </c>
      <c r="D140">
        <v>63</v>
      </c>
      <c r="E140">
        <v>2757</v>
      </c>
      <c r="G140" t="s">
        <v>461</v>
      </c>
      <c r="H140" t="s">
        <v>460</v>
      </c>
      <c r="I140" t="s">
        <v>9</v>
      </c>
    </row>
    <row r="141" spans="1:9" x14ac:dyDescent="0.2">
      <c r="A141" t="s">
        <v>6</v>
      </c>
      <c r="B141">
        <v>206</v>
      </c>
      <c r="C141">
        <v>90317</v>
      </c>
      <c r="D141">
        <v>81</v>
      </c>
      <c r="E141">
        <v>206</v>
      </c>
      <c r="G141" t="s">
        <v>478</v>
      </c>
      <c r="H141" t="s">
        <v>474</v>
      </c>
      <c r="I141" t="s">
        <v>9</v>
      </c>
    </row>
    <row r="142" spans="1:9" x14ac:dyDescent="0.2">
      <c r="A142" t="s">
        <v>6</v>
      </c>
      <c r="B142">
        <v>349</v>
      </c>
      <c r="C142">
        <v>177297</v>
      </c>
      <c r="D142">
        <v>12</v>
      </c>
      <c r="E142">
        <v>349</v>
      </c>
      <c r="G142" t="s">
        <v>462</v>
      </c>
      <c r="H142" t="s">
        <v>463</v>
      </c>
      <c r="I142" t="s">
        <v>9</v>
      </c>
    </row>
    <row r="143" spans="1:9" x14ac:dyDescent="0.2">
      <c r="A143" t="s">
        <v>6</v>
      </c>
      <c r="B143">
        <v>1070</v>
      </c>
      <c r="C143">
        <v>508517</v>
      </c>
      <c r="D143">
        <v>86</v>
      </c>
      <c r="E143">
        <v>1070</v>
      </c>
      <c r="G143" t="s">
        <v>504</v>
      </c>
      <c r="H143" t="s">
        <v>487</v>
      </c>
      <c r="I143" t="s">
        <v>9</v>
      </c>
    </row>
    <row r="144" spans="1:9" x14ac:dyDescent="0.2">
      <c r="A144" t="s">
        <v>6</v>
      </c>
      <c r="B144">
        <v>125</v>
      </c>
      <c r="C144">
        <v>67144</v>
      </c>
      <c r="D144">
        <v>63</v>
      </c>
      <c r="E144">
        <v>125</v>
      </c>
      <c r="G144" t="s">
        <v>461</v>
      </c>
      <c r="H144" t="s">
        <v>460</v>
      </c>
      <c r="I144" t="s">
        <v>9</v>
      </c>
    </row>
    <row r="145" spans="1:9" x14ac:dyDescent="0.2">
      <c r="A145" t="s">
        <v>6</v>
      </c>
      <c r="B145">
        <v>429</v>
      </c>
      <c r="C145">
        <v>165984</v>
      </c>
      <c r="D145">
        <v>32</v>
      </c>
      <c r="E145">
        <v>429</v>
      </c>
      <c r="G145" t="s">
        <v>479</v>
      </c>
      <c r="H145" t="s">
        <v>463</v>
      </c>
      <c r="I145" t="s">
        <v>9</v>
      </c>
    </row>
    <row r="146" spans="1:9" x14ac:dyDescent="0.2">
      <c r="A146" t="s">
        <v>6</v>
      </c>
      <c r="B146">
        <v>164</v>
      </c>
      <c r="C146">
        <v>96409</v>
      </c>
      <c r="D146">
        <v>40</v>
      </c>
      <c r="E146">
        <v>164</v>
      </c>
      <c r="G146" t="s">
        <v>479</v>
      </c>
      <c r="H146" t="s">
        <v>480</v>
      </c>
      <c r="I146" t="s">
        <v>9</v>
      </c>
    </row>
    <row r="147" spans="1:9" x14ac:dyDescent="0.2">
      <c r="A147" t="s">
        <v>6</v>
      </c>
      <c r="B147">
        <v>74</v>
      </c>
      <c r="C147">
        <v>21299</v>
      </c>
      <c r="D147">
        <v>6</v>
      </c>
      <c r="E147">
        <v>74</v>
      </c>
      <c r="G147" t="s">
        <v>497</v>
      </c>
      <c r="H147" t="s">
        <v>498</v>
      </c>
      <c r="I147" t="s">
        <v>9</v>
      </c>
    </row>
    <row r="148" spans="1:9" x14ac:dyDescent="0.2">
      <c r="A148" t="s">
        <v>6</v>
      </c>
      <c r="B148">
        <v>862</v>
      </c>
      <c r="C148">
        <v>552907</v>
      </c>
      <c r="D148">
        <v>29</v>
      </c>
      <c r="E148">
        <v>862</v>
      </c>
      <c r="G148" t="s">
        <v>471</v>
      </c>
      <c r="H148" t="s">
        <v>472</v>
      </c>
      <c r="I148" t="s">
        <v>9</v>
      </c>
    </row>
    <row r="149" spans="1:9" x14ac:dyDescent="0.2">
      <c r="A149" t="s">
        <v>6</v>
      </c>
      <c r="B149">
        <v>19251</v>
      </c>
      <c r="C149">
        <v>1976054</v>
      </c>
      <c r="D149">
        <v>8</v>
      </c>
      <c r="E149">
        <v>19251</v>
      </c>
      <c r="G149" t="s">
        <v>474</v>
      </c>
      <c r="H149" t="s">
        <v>475</v>
      </c>
      <c r="I149" t="s">
        <v>9</v>
      </c>
    </row>
    <row r="150" spans="1:9" x14ac:dyDescent="0.2">
      <c r="A150" t="s">
        <v>6</v>
      </c>
      <c r="B150">
        <v>51</v>
      </c>
      <c r="C150">
        <v>4865</v>
      </c>
      <c r="D150">
        <v>27</v>
      </c>
      <c r="E150">
        <v>51</v>
      </c>
      <c r="G150" t="s">
        <v>467</v>
      </c>
      <c r="H150" t="s">
        <v>458</v>
      </c>
      <c r="I150" t="s">
        <v>9</v>
      </c>
    </row>
    <row r="151" spans="1:9" x14ac:dyDescent="0.2">
      <c r="A151" t="s">
        <v>6</v>
      </c>
      <c r="B151">
        <v>65</v>
      </c>
      <c r="C151">
        <v>6608</v>
      </c>
      <c r="D151">
        <v>27</v>
      </c>
      <c r="E151">
        <v>65</v>
      </c>
      <c r="G151" t="s">
        <v>467</v>
      </c>
      <c r="H151" t="s">
        <v>458</v>
      </c>
      <c r="I151" t="s">
        <v>9</v>
      </c>
    </row>
    <row r="152" spans="1:9" x14ac:dyDescent="0.2">
      <c r="A152" t="s">
        <v>6</v>
      </c>
      <c r="B152">
        <v>518</v>
      </c>
      <c r="C152">
        <v>132303</v>
      </c>
      <c r="D152">
        <v>161</v>
      </c>
      <c r="E152">
        <v>518</v>
      </c>
      <c r="G152" t="s">
        <v>505</v>
      </c>
      <c r="H152" t="s">
        <v>500</v>
      </c>
      <c r="I152" t="s">
        <v>9</v>
      </c>
    </row>
    <row r="153" spans="1:9" x14ac:dyDescent="0.2">
      <c r="A153" t="s">
        <v>6</v>
      </c>
      <c r="B153">
        <v>7</v>
      </c>
      <c r="C153">
        <v>2069</v>
      </c>
      <c r="D153">
        <v>10</v>
      </c>
      <c r="E153">
        <v>7</v>
      </c>
      <c r="G153" t="s">
        <v>457</v>
      </c>
      <c r="H153" t="s">
        <v>458</v>
      </c>
      <c r="I153" t="s">
        <v>9</v>
      </c>
    </row>
    <row r="154" spans="1:9" x14ac:dyDescent="0.2">
      <c r="A154" t="s">
        <v>6</v>
      </c>
      <c r="B154">
        <v>2688</v>
      </c>
      <c r="C154">
        <v>2351742</v>
      </c>
      <c r="D154">
        <v>63</v>
      </c>
      <c r="E154">
        <v>2688</v>
      </c>
      <c r="G154" t="s">
        <v>461</v>
      </c>
      <c r="H154" t="s">
        <v>460</v>
      </c>
      <c r="I154" t="s">
        <v>9</v>
      </c>
    </row>
    <row r="155" spans="1:9" x14ac:dyDescent="0.2">
      <c r="A155" t="s">
        <v>6</v>
      </c>
      <c r="B155">
        <v>10489</v>
      </c>
      <c r="C155">
        <v>5097032</v>
      </c>
      <c r="D155">
        <v>8</v>
      </c>
      <c r="E155">
        <v>10489</v>
      </c>
      <c r="G155" t="s">
        <v>474</v>
      </c>
      <c r="H155" t="s">
        <v>475</v>
      </c>
      <c r="I155" t="s">
        <v>9</v>
      </c>
    </row>
    <row r="156" spans="1:9" x14ac:dyDescent="0.2">
      <c r="A156" t="s">
        <v>6</v>
      </c>
      <c r="B156">
        <v>257</v>
      </c>
      <c r="C156">
        <v>130516</v>
      </c>
      <c r="D156">
        <v>32</v>
      </c>
      <c r="E156">
        <v>257</v>
      </c>
      <c r="G156" t="s">
        <v>479</v>
      </c>
      <c r="H156" t="s">
        <v>463</v>
      </c>
      <c r="I156" t="s">
        <v>9</v>
      </c>
    </row>
    <row r="157" spans="1:9" x14ac:dyDescent="0.2">
      <c r="A157" t="s">
        <v>6</v>
      </c>
      <c r="B157">
        <v>105</v>
      </c>
      <c r="C157">
        <v>53610</v>
      </c>
      <c r="D157">
        <v>32</v>
      </c>
      <c r="E157">
        <v>105</v>
      </c>
      <c r="G157" t="s">
        <v>479</v>
      </c>
      <c r="H157" t="s">
        <v>463</v>
      </c>
      <c r="I157" t="s">
        <v>9</v>
      </c>
    </row>
    <row r="158" spans="1:9" x14ac:dyDescent="0.2">
      <c r="A158" t="s">
        <v>6</v>
      </c>
      <c r="B158">
        <v>835</v>
      </c>
      <c r="C158">
        <v>776930</v>
      </c>
      <c r="D158">
        <v>63</v>
      </c>
      <c r="E158">
        <v>835</v>
      </c>
      <c r="G158" t="s">
        <v>461</v>
      </c>
      <c r="H158" t="s">
        <v>460</v>
      </c>
      <c r="I158" t="s">
        <v>9</v>
      </c>
    </row>
    <row r="159" spans="1:9" x14ac:dyDescent="0.2">
      <c r="A159" t="s">
        <v>6</v>
      </c>
      <c r="B159">
        <v>0</v>
      </c>
      <c r="C159">
        <v>11</v>
      </c>
      <c r="D159">
        <v>0</v>
      </c>
      <c r="E159">
        <v>0</v>
      </c>
      <c r="G159" t="s">
        <v>471</v>
      </c>
      <c r="H159" t="s">
        <v>471</v>
      </c>
      <c r="I159" t="s">
        <v>9</v>
      </c>
    </row>
    <row r="160" spans="1:9" x14ac:dyDescent="0.2">
      <c r="A160" t="s">
        <v>6</v>
      </c>
      <c r="B160">
        <v>493</v>
      </c>
      <c r="C160">
        <v>227452</v>
      </c>
      <c r="D160">
        <v>12</v>
      </c>
      <c r="E160">
        <v>493</v>
      </c>
      <c r="G160" t="s">
        <v>462</v>
      </c>
      <c r="H160" t="s">
        <v>463</v>
      </c>
      <c r="I160" t="s">
        <v>9</v>
      </c>
    </row>
    <row r="161" spans="1:9" x14ac:dyDescent="0.2">
      <c r="A161" t="s">
        <v>6</v>
      </c>
      <c r="B161">
        <v>78</v>
      </c>
      <c r="C161">
        <v>46339</v>
      </c>
      <c r="D161">
        <v>226</v>
      </c>
      <c r="E161">
        <v>78</v>
      </c>
      <c r="G161" t="s">
        <v>464</v>
      </c>
      <c r="H161" t="s">
        <v>465</v>
      </c>
      <c r="I161" t="s">
        <v>9</v>
      </c>
    </row>
    <row r="162" spans="1:9" x14ac:dyDescent="0.2">
      <c r="A162" t="s">
        <v>6</v>
      </c>
      <c r="B162">
        <v>14199</v>
      </c>
      <c r="C162">
        <v>6628695</v>
      </c>
      <c r="D162">
        <v>8</v>
      </c>
      <c r="E162">
        <v>14199</v>
      </c>
      <c r="G162" t="s">
        <v>474</v>
      </c>
      <c r="H162" t="s">
        <v>475</v>
      </c>
      <c r="I162" t="s">
        <v>9</v>
      </c>
    </row>
    <row r="163" spans="1:9" x14ac:dyDescent="0.2">
      <c r="A163" t="s">
        <v>6</v>
      </c>
      <c r="B163">
        <v>8148</v>
      </c>
      <c r="C163">
        <v>3394400</v>
      </c>
      <c r="D163">
        <v>84</v>
      </c>
      <c r="E163">
        <v>8148</v>
      </c>
      <c r="G163" t="s">
        <v>459</v>
      </c>
      <c r="H163" t="s">
        <v>460</v>
      </c>
      <c r="I163" t="s">
        <v>9</v>
      </c>
    </row>
    <row r="164" spans="1:9" x14ac:dyDescent="0.2">
      <c r="A164" t="s">
        <v>6</v>
      </c>
      <c r="B164">
        <v>108</v>
      </c>
      <c r="C164">
        <v>54290</v>
      </c>
      <c r="D164">
        <v>26</v>
      </c>
      <c r="E164">
        <v>108</v>
      </c>
      <c r="G164" t="s">
        <v>463</v>
      </c>
      <c r="H164" t="s">
        <v>472</v>
      </c>
      <c r="I164" t="s">
        <v>9</v>
      </c>
    </row>
    <row r="165" spans="1:9" x14ac:dyDescent="0.2">
      <c r="A165" t="s">
        <v>6</v>
      </c>
      <c r="B165">
        <v>506</v>
      </c>
      <c r="C165">
        <v>209772</v>
      </c>
      <c r="D165">
        <v>40</v>
      </c>
      <c r="E165">
        <v>506</v>
      </c>
      <c r="G165" t="s">
        <v>479</v>
      </c>
      <c r="H165" t="s">
        <v>480</v>
      </c>
      <c r="I165" t="s">
        <v>9</v>
      </c>
    </row>
    <row r="166" spans="1:9" x14ac:dyDescent="0.2">
      <c r="A166" t="s">
        <v>6</v>
      </c>
      <c r="B166">
        <v>10528</v>
      </c>
      <c r="C166">
        <v>5115931</v>
      </c>
      <c r="D166">
        <v>8</v>
      </c>
      <c r="E166">
        <v>10528</v>
      </c>
      <c r="G166" t="s">
        <v>474</v>
      </c>
      <c r="H166" t="s">
        <v>475</v>
      </c>
      <c r="I166" t="s">
        <v>9</v>
      </c>
    </row>
    <row r="167" spans="1:9" x14ac:dyDescent="0.2">
      <c r="A167" t="s">
        <v>6</v>
      </c>
      <c r="B167">
        <v>152</v>
      </c>
      <c r="C167">
        <v>39576</v>
      </c>
      <c r="D167">
        <v>125</v>
      </c>
      <c r="E167">
        <v>152</v>
      </c>
      <c r="G167" t="s">
        <v>505</v>
      </c>
      <c r="H167" t="s">
        <v>506</v>
      </c>
      <c r="I167" t="s">
        <v>9</v>
      </c>
    </row>
    <row r="168" spans="1:9" x14ac:dyDescent="0.2">
      <c r="A168" t="s">
        <v>6</v>
      </c>
      <c r="B168">
        <v>122</v>
      </c>
      <c r="C168">
        <v>75880</v>
      </c>
      <c r="D168">
        <v>7</v>
      </c>
      <c r="E168">
        <v>122</v>
      </c>
      <c r="G168" t="s">
        <v>462</v>
      </c>
      <c r="H168" t="s">
        <v>477</v>
      </c>
      <c r="I168" t="s">
        <v>9</v>
      </c>
    </row>
    <row r="169" spans="1:9" x14ac:dyDescent="0.2">
      <c r="A169" t="s">
        <v>6</v>
      </c>
      <c r="B169">
        <v>13</v>
      </c>
      <c r="C169">
        <v>3465</v>
      </c>
      <c r="D169">
        <v>10</v>
      </c>
      <c r="E169">
        <v>13</v>
      </c>
      <c r="G169" t="s">
        <v>457</v>
      </c>
      <c r="H169" t="s">
        <v>458</v>
      </c>
      <c r="I169" t="s">
        <v>9</v>
      </c>
    </row>
    <row r="170" spans="1:9" x14ac:dyDescent="0.2">
      <c r="A170" t="s">
        <v>6</v>
      </c>
      <c r="B170">
        <v>78</v>
      </c>
      <c r="C170">
        <v>43702</v>
      </c>
      <c r="D170">
        <v>12</v>
      </c>
      <c r="E170">
        <v>78</v>
      </c>
      <c r="G170" t="s">
        <v>462</v>
      </c>
      <c r="H170" t="s">
        <v>463</v>
      </c>
      <c r="I170" t="s">
        <v>9</v>
      </c>
    </row>
    <row r="171" spans="1:9" x14ac:dyDescent="0.2">
      <c r="A171" t="s">
        <v>6</v>
      </c>
      <c r="B171">
        <v>11405</v>
      </c>
      <c r="C171">
        <v>1174983</v>
      </c>
      <c r="D171">
        <v>84</v>
      </c>
      <c r="E171">
        <v>11405</v>
      </c>
      <c r="G171" t="s">
        <v>459</v>
      </c>
      <c r="H171" t="s">
        <v>460</v>
      </c>
      <c r="I171" t="s">
        <v>9</v>
      </c>
    </row>
    <row r="172" spans="1:9" x14ac:dyDescent="0.2">
      <c r="A172" t="s">
        <v>6</v>
      </c>
      <c r="B172">
        <v>287</v>
      </c>
      <c r="C172">
        <v>143518</v>
      </c>
      <c r="D172">
        <v>26</v>
      </c>
      <c r="E172">
        <v>287</v>
      </c>
      <c r="G172" t="s">
        <v>463</v>
      </c>
      <c r="H172" t="s">
        <v>472</v>
      </c>
      <c r="I172" t="s">
        <v>9</v>
      </c>
    </row>
    <row r="173" spans="1:9" x14ac:dyDescent="0.2">
      <c r="A173" t="s">
        <v>6</v>
      </c>
      <c r="B173">
        <v>1859</v>
      </c>
      <c r="C173">
        <v>1577071</v>
      </c>
      <c r="D173">
        <v>63</v>
      </c>
      <c r="E173">
        <v>1859</v>
      </c>
      <c r="G173" t="s">
        <v>461</v>
      </c>
      <c r="H173" t="s">
        <v>460</v>
      </c>
      <c r="I173" t="s">
        <v>9</v>
      </c>
    </row>
    <row r="174" spans="1:9" x14ac:dyDescent="0.2">
      <c r="A174" t="s">
        <v>6</v>
      </c>
      <c r="B174">
        <v>146</v>
      </c>
      <c r="C174">
        <v>69601</v>
      </c>
      <c r="D174">
        <v>226</v>
      </c>
      <c r="E174">
        <v>146</v>
      </c>
      <c r="G174" t="s">
        <v>464</v>
      </c>
      <c r="H174" t="s">
        <v>465</v>
      </c>
      <c r="I174" t="s">
        <v>9</v>
      </c>
    </row>
    <row r="175" spans="1:9" x14ac:dyDescent="0.2">
      <c r="A175" t="s">
        <v>6</v>
      </c>
      <c r="B175">
        <v>155</v>
      </c>
      <c r="C175">
        <v>15927</v>
      </c>
      <c r="D175">
        <v>1</v>
      </c>
      <c r="E175">
        <v>155</v>
      </c>
      <c r="G175" t="s">
        <v>499</v>
      </c>
      <c r="H175" t="s">
        <v>463</v>
      </c>
      <c r="I175" t="s">
        <v>9</v>
      </c>
    </row>
    <row r="176" spans="1:9" x14ac:dyDescent="0.2">
      <c r="A176" t="s">
        <v>6</v>
      </c>
      <c r="B176">
        <v>6172</v>
      </c>
      <c r="C176">
        <v>646971</v>
      </c>
      <c r="D176">
        <v>63</v>
      </c>
      <c r="E176">
        <v>6172</v>
      </c>
      <c r="G176" t="s">
        <v>461</v>
      </c>
      <c r="H176" t="s">
        <v>460</v>
      </c>
      <c r="I176" t="s">
        <v>9</v>
      </c>
    </row>
    <row r="177" spans="1:9" x14ac:dyDescent="0.2">
      <c r="A177" t="s">
        <v>6</v>
      </c>
      <c r="B177">
        <v>11220</v>
      </c>
      <c r="C177">
        <v>1154903</v>
      </c>
      <c r="D177">
        <v>84</v>
      </c>
      <c r="E177">
        <v>11220</v>
      </c>
      <c r="G177" t="s">
        <v>459</v>
      </c>
      <c r="H177" t="s">
        <v>460</v>
      </c>
      <c r="I177" t="s">
        <v>9</v>
      </c>
    </row>
    <row r="178" spans="1:9" x14ac:dyDescent="0.2">
      <c r="A178" t="s">
        <v>6</v>
      </c>
      <c r="B178">
        <v>500</v>
      </c>
      <c r="C178">
        <v>320696</v>
      </c>
      <c r="D178">
        <v>11</v>
      </c>
      <c r="E178">
        <v>500</v>
      </c>
      <c r="G178" t="s">
        <v>507</v>
      </c>
      <c r="H178" t="s">
        <v>483</v>
      </c>
      <c r="I178" t="s">
        <v>9</v>
      </c>
    </row>
    <row r="179" spans="1:9" x14ac:dyDescent="0.2">
      <c r="A179" t="s">
        <v>6</v>
      </c>
      <c r="B179">
        <v>162</v>
      </c>
      <c r="C179">
        <v>37706</v>
      </c>
      <c r="D179">
        <v>12</v>
      </c>
      <c r="E179">
        <v>162</v>
      </c>
      <c r="G179" t="s">
        <v>477</v>
      </c>
      <c r="H179" t="s">
        <v>469</v>
      </c>
      <c r="I179" t="s">
        <v>9</v>
      </c>
    </row>
    <row r="180" spans="1:9" x14ac:dyDescent="0.2">
      <c r="A180" t="s">
        <v>6</v>
      </c>
      <c r="B180">
        <v>1307</v>
      </c>
      <c r="C180">
        <v>563175</v>
      </c>
      <c r="D180">
        <v>29</v>
      </c>
      <c r="E180">
        <v>1307</v>
      </c>
      <c r="G180" t="s">
        <v>471</v>
      </c>
      <c r="H180" t="s">
        <v>472</v>
      </c>
      <c r="I180" t="s">
        <v>9</v>
      </c>
    </row>
    <row r="181" spans="1:9" x14ac:dyDescent="0.2">
      <c r="A181" t="s">
        <v>6</v>
      </c>
      <c r="B181">
        <v>652</v>
      </c>
      <c r="C181">
        <v>578774</v>
      </c>
      <c r="D181">
        <v>287</v>
      </c>
      <c r="E181">
        <v>652</v>
      </c>
      <c r="G181" t="s">
        <v>488</v>
      </c>
      <c r="H181" t="s">
        <v>489</v>
      </c>
      <c r="I181" t="s">
        <v>9</v>
      </c>
    </row>
    <row r="182" spans="1:9" x14ac:dyDescent="0.2">
      <c r="A182" t="s">
        <v>6</v>
      </c>
      <c r="B182">
        <v>2</v>
      </c>
      <c r="C182">
        <v>19726</v>
      </c>
      <c r="D182">
        <v>1</v>
      </c>
      <c r="E182">
        <v>2</v>
      </c>
      <c r="G182" t="s">
        <v>508</v>
      </c>
      <c r="H182" t="s">
        <v>500</v>
      </c>
      <c r="I182" t="s">
        <v>9</v>
      </c>
    </row>
    <row r="183" spans="1:9" x14ac:dyDescent="0.2">
      <c r="A183" t="s">
        <v>6</v>
      </c>
      <c r="B183">
        <v>145</v>
      </c>
      <c r="C183">
        <v>69172</v>
      </c>
      <c r="D183">
        <v>12</v>
      </c>
      <c r="E183">
        <v>145</v>
      </c>
      <c r="G183" t="s">
        <v>462</v>
      </c>
      <c r="H183" t="s">
        <v>463</v>
      </c>
      <c r="I183" t="s">
        <v>9</v>
      </c>
    </row>
    <row r="184" spans="1:9" x14ac:dyDescent="0.2">
      <c r="A184" t="s">
        <v>6</v>
      </c>
      <c r="B184">
        <v>164</v>
      </c>
      <c r="C184">
        <v>114994</v>
      </c>
      <c r="D184">
        <v>35</v>
      </c>
      <c r="E184">
        <v>164</v>
      </c>
      <c r="G184" t="s">
        <v>462</v>
      </c>
      <c r="H184" t="s">
        <v>476</v>
      </c>
      <c r="I184" t="s">
        <v>9</v>
      </c>
    </row>
    <row r="185" spans="1:9" x14ac:dyDescent="0.2">
      <c r="A185" t="s">
        <v>6</v>
      </c>
      <c r="B185">
        <v>5</v>
      </c>
      <c r="C185">
        <v>2538</v>
      </c>
      <c r="D185">
        <v>16</v>
      </c>
      <c r="E185">
        <v>5</v>
      </c>
      <c r="G185" t="s">
        <v>480</v>
      </c>
      <c r="H185" t="s">
        <v>485</v>
      </c>
      <c r="I185" t="s">
        <v>9</v>
      </c>
    </row>
    <row r="186" spans="1:9" x14ac:dyDescent="0.2">
      <c r="A186" t="s">
        <v>6</v>
      </c>
      <c r="B186">
        <v>12650</v>
      </c>
      <c r="C186">
        <v>5901671</v>
      </c>
      <c r="D186">
        <v>8</v>
      </c>
      <c r="E186">
        <v>12650</v>
      </c>
      <c r="G186" t="s">
        <v>474</v>
      </c>
      <c r="H186" t="s">
        <v>475</v>
      </c>
      <c r="I186" t="s">
        <v>9</v>
      </c>
    </row>
    <row r="187" spans="1:9" x14ac:dyDescent="0.2">
      <c r="A187" t="s">
        <v>6</v>
      </c>
      <c r="B187">
        <v>284</v>
      </c>
      <c r="C187">
        <v>121994</v>
      </c>
      <c r="D187">
        <v>2</v>
      </c>
      <c r="E187">
        <v>284</v>
      </c>
      <c r="G187" t="s">
        <v>502</v>
      </c>
      <c r="H187" t="s">
        <v>469</v>
      </c>
      <c r="I187" t="s">
        <v>9</v>
      </c>
    </row>
    <row r="188" spans="1:9" x14ac:dyDescent="0.2">
      <c r="A188" t="s">
        <v>6</v>
      </c>
      <c r="B188">
        <v>211</v>
      </c>
      <c r="C188">
        <v>92116</v>
      </c>
      <c r="D188">
        <v>81</v>
      </c>
      <c r="E188">
        <v>211</v>
      </c>
      <c r="G188" t="s">
        <v>478</v>
      </c>
      <c r="H188" t="s">
        <v>474</v>
      </c>
      <c r="I188" t="s">
        <v>9</v>
      </c>
    </row>
    <row r="189" spans="1:9" x14ac:dyDescent="0.2">
      <c r="A189" t="s">
        <v>6</v>
      </c>
      <c r="B189">
        <v>16716</v>
      </c>
      <c r="C189">
        <v>1734889</v>
      </c>
      <c r="D189">
        <v>8</v>
      </c>
      <c r="E189">
        <v>16716</v>
      </c>
      <c r="G189" t="s">
        <v>474</v>
      </c>
      <c r="H189" t="s">
        <v>475</v>
      </c>
      <c r="I189" t="s">
        <v>9</v>
      </c>
    </row>
    <row r="190" spans="1:9" x14ac:dyDescent="0.2">
      <c r="A190" t="s">
        <v>6</v>
      </c>
      <c r="B190">
        <v>2</v>
      </c>
      <c r="C190">
        <v>636</v>
      </c>
      <c r="D190">
        <v>10</v>
      </c>
      <c r="E190">
        <v>2</v>
      </c>
      <c r="G190" t="s">
        <v>457</v>
      </c>
      <c r="H190" t="s">
        <v>458</v>
      </c>
      <c r="I190" t="s">
        <v>9</v>
      </c>
    </row>
    <row r="191" spans="1:9" x14ac:dyDescent="0.2">
      <c r="A191" t="s">
        <v>6</v>
      </c>
      <c r="B191">
        <v>111</v>
      </c>
      <c r="C191">
        <v>55751</v>
      </c>
      <c r="D191">
        <v>26</v>
      </c>
      <c r="E191">
        <v>111</v>
      </c>
      <c r="G191" t="s">
        <v>463</v>
      </c>
      <c r="H191" t="s">
        <v>472</v>
      </c>
      <c r="I191" t="s">
        <v>9</v>
      </c>
    </row>
    <row r="192" spans="1:9" x14ac:dyDescent="0.2">
      <c r="A192" t="s">
        <v>6</v>
      </c>
      <c r="B192">
        <v>113</v>
      </c>
      <c r="C192">
        <v>88643</v>
      </c>
      <c r="D192">
        <v>26</v>
      </c>
      <c r="E192">
        <v>113</v>
      </c>
      <c r="G192" t="s">
        <v>482</v>
      </c>
      <c r="H192" t="s">
        <v>471</v>
      </c>
      <c r="I192" t="s">
        <v>9</v>
      </c>
    </row>
    <row r="193" spans="1:9" x14ac:dyDescent="0.2">
      <c r="A193" t="s">
        <v>6</v>
      </c>
      <c r="B193">
        <v>1</v>
      </c>
      <c r="C193">
        <v>280</v>
      </c>
      <c r="D193">
        <v>10</v>
      </c>
      <c r="E193">
        <v>1</v>
      </c>
      <c r="G193" t="s">
        <v>457</v>
      </c>
      <c r="H193" t="s">
        <v>458</v>
      </c>
      <c r="I193" t="s">
        <v>9</v>
      </c>
    </row>
    <row r="194" spans="1:9" x14ac:dyDescent="0.2">
      <c r="A194" t="s">
        <v>6</v>
      </c>
      <c r="B194">
        <v>839</v>
      </c>
      <c r="C194">
        <v>388109</v>
      </c>
      <c r="D194">
        <v>31</v>
      </c>
      <c r="E194">
        <v>839</v>
      </c>
      <c r="G194" t="s">
        <v>470</v>
      </c>
      <c r="H194" t="s">
        <v>471</v>
      </c>
      <c r="I194" t="s">
        <v>9</v>
      </c>
    </row>
    <row r="195" spans="1:9" x14ac:dyDescent="0.2">
      <c r="A195" t="s">
        <v>6</v>
      </c>
      <c r="B195">
        <v>6362</v>
      </c>
      <c r="C195">
        <v>4342495</v>
      </c>
      <c r="D195">
        <v>26</v>
      </c>
      <c r="E195">
        <v>6362</v>
      </c>
      <c r="G195" t="s">
        <v>482</v>
      </c>
      <c r="H195" t="s">
        <v>471</v>
      </c>
      <c r="I195" t="s">
        <v>9</v>
      </c>
    </row>
    <row r="196" spans="1:9" x14ac:dyDescent="0.2">
      <c r="A196" t="s">
        <v>6</v>
      </c>
      <c r="B196">
        <v>188</v>
      </c>
      <c r="C196">
        <v>110023</v>
      </c>
      <c r="D196">
        <v>226</v>
      </c>
      <c r="E196">
        <v>188</v>
      </c>
      <c r="G196" t="s">
        <v>464</v>
      </c>
      <c r="H196" t="s">
        <v>465</v>
      </c>
      <c r="I196" t="s">
        <v>9</v>
      </c>
    </row>
    <row r="197" spans="1:9" x14ac:dyDescent="0.2">
      <c r="A197" t="s">
        <v>6</v>
      </c>
      <c r="B197">
        <v>20</v>
      </c>
      <c r="C197">
        <v>10444</v>
      </c>
      <c r="D197">
        <v>4</v>
      </c>
      <c r="E197">
        <v>20</v>
      </c>
      <c r="G197" t="s">
        <v>509</v>
      </c>
      <c r="H197" t="s">
        <v>508</v>
      </c>
      <c r="I197" t="s">
        <v>9</v>
      </c>
    </row>
    <row r="198" spans="1:9" x14ac:dyDescent="0.2">
      <c r="A198" t="s">
        <v>6</v>
      </c>
      <c r="B198">
        <v>219</v>
      </c>
      <c r="C198">
        <v>153997</v>
      </c>
      <c r="D198">
        <v>35</v>
      </c>
      <c r="E198">
        <v>219</v>
      </c>
      <c r="G198" t="s">
        <v>462</v>
      </c>
      <c r="H198" t="s">
        <v>476</v>
      </c>
      <c r="I198" t="s">
        <v>9</v>
      </c>
    </row>
    <row r="199" spans="1:9" x14ac:dyDescent="0.2">
      <c r="A199" t="s">
        <v>6</v>
      </c>
      <c r="B199">
        <v>819</v>
      </c>
      <c r="C199">
        <v>744960</v>
      </c>
      <c r="D199">
        <v>26</v>
      </c>
      <c r="E199">
        <v>819</v>
      </c>
      <c r="G199" t="s">
        <v>482</v>
      </c>
      <c r="H199" t="s">
        <v>471</v>
      </c>
      <c r="I199" t="s">
        <v>9</v>
      </c>
    </row>
    <row r="200" spans="1:9" x14ac:dyDescent="0.2">
      <c r="A200" t="s">
        <v>6</v>
      </c>
      <c r="B200">
        <v>196</v>
      </c>
      <c r="C200">
        <v>85769</v>
      </c>
      <c r="D200">
        <v>226</v>
      </c>
      <c r="E200">
        <v>196</v>
      </c>
      <c r="G200" t="s">
        <v>464</v>
      </c>
      <c r="H200" t="s">
        <v>465</v>
      </c>
      <c r="I200" t="s">
        <v>9</v>
      </c>
    </row>
    <row r="201" spans="1:9" x14ac:dyDescent="0.2">
      <c r="A201" t="s">
        <v>6</v>
      </c>
      <c r="B201">
        <v>1480</v>
      </c>
      <c r="C201">
        <v>1414417</v>
      </c>
      <c r="D201">
        <v>63</v>
      </c>
      <c r="E201">
        <v>1480</v>
      </c>
      <c r="G201" t="s">
        <v>461</v>
      </c>
      <c r="H201" t="s">
        <v>460</v>
      </c>
      <c r="I201" t="s">
        <v>9</v>
      </c>
    </row>
    <row r="202" spans="1:9" x14ac:dyDescent="0.2">
      <c r="A202" t="s">
        <v>6</v>
      </c>
      <c r="B202">
        <v>591</v>
      </c>
      <c r="C202">
        <v>217887</v>
      </c>
      <c r="D202">
        <v>13</v>
      </c>
      <c r="E202">
        <v>591</v>
      </c>
      <c r="G202" t="s">
        <v>500</v>
      </c>
      <c r="H202" t="s">
        <v>458</v>
      </c>
      <c r="I202" t="s">
        <v>9</v>
      </c>
    </row>
    <row r="203" spans="1:9" x14ac:dyDescent="0.2">
      <c r="A203" t="s">
        <v>6</v>
      </c>
      <c r="B203">
        <v>62175</v>
      </c>
      <c r="C203">
        <v>6087352</v>
      </c>
      <c r="D203">
        <v>3</v>
      </c>
      <c r="E203">
        <v>62175</v>
      </c>
      <c r="G203" t="s">
        <v>510</v>
      </c>
      <c r="H203" t="s">
        <v>483</v>
      </c>
      <c r="I203" t="s">
        <v>9</v>
      </c>
    </row>
    <row r="204" spans="1:9" x14ac:dyDescent="0.2">
      <c r="A204" t="s">
        <v>6</v>
      </c>
      <c r="B204">
        <v>90</v>
      </c>
      <c r="C204">
        <v>41151</v>
      </c>
      <c r="D204">
        <v>32</v>
      </c>
      <c r="E204">
        <v>90</v>
      </c>
      <c r="G204" t="s">
        <v>479</v>
      </c>
      <c r="H204" t="s">
        <v>463</v>
      </c>
      <c r="I204" t="s">
        <v>9</v>
      </c>
    </row>
    <row r="205" spans="1:9" x14ac:dyDescent="0.2">
      <c r="A205" t="s">
        <v>6</v>
      </c>
      <c r="B205">
        <v>201</v>
      </c>
      <c r="C205">
        <v>146456</v>
      </c>
      <c r="D205">
        <v>-2</v>
      </c>
      <c r="E205">
        <v>201</v>
      </c>
      <c r="G205" t="s">
        <v>479</v>
      </c>
      <c r="H205" t="s">
        <v>470</v>
      </c>
      <c r="I205" t="s">
        <v>9</v>
      </c>
    </row>
    <row r="206" spans="1:9" x14ac:dyDescent="0.2">
      <c r="A206" t="s">
        <v>6</v>
      </c>
      <c r="B206">
        <v>670</v>
      </c>
      <c r="C206">
        <v>369006</v>
      </c>
      <c r="D206">
        <v>32</v>
      </c>
      <c r="E206">
        <v>670</v>
      </c>
      <c r="G206" t="s">
        <v>479</v>
      </c>
      <c r="H206" t="s">
        <v>463</v>
      </c>
      <c r="I206" t="s">
        <v>9</v>
      </c>
    </row>
    <row r="207" spans="1:9" x14ac:dyDescent="0.2">
      <c r="A207" t="s">
        <v>6</v>
      </c>
      <c r="B207">
        <v>209</v>
      </c>
      <c r="C207">
        <v>162407</v>
      </c>
      <c r="D207">
        <v>287</v>
      </c>
      <c r="E207">
        <v>209</v>
      </c>
      <c r="G207" t="s">
        <v>488</v>
      </c>
      <c r="H207" t="s">
        <v>489</v>
      </c>
      <c r="I207" t="s">
        <v>9</v>
      </c>
    </row>
    <row r="208" spans="1:9" x14ac:dyDescent="0.2">
      <c r="A208" t="s">
        <v>6</v>
      </c>
      <c r="B208">
        <v>1250</v>
      </c>
      <c r="C208">
        <v>512483</v>
      </c>
      <c r="D208">
        <v>13</v>
      </c>
      <c r="E208">
        <v>1250</v>
      </c>
      <c r="G208" t="s">
        <v>482</v>
      </c>
      <c r="H208" t="s">
        <v>511</v>
      </c>
      <c r="I208" t="s">
        <v>9</v>
      </c>
    </row>
    <row r="209" spans="1:9" x14ac:dyDescent="0.2">
      <c r="A209" t="s">
        <v>6</v>
      </c>
      <c r="B209">
        <v>2580</v>
      </c>
      <c r="C209">
        <v>907794</v>
      </c>
      <c r="D209">
        <v>29</v>
      </c>
      <c r="E209">
        <v>2580</v>
      </c>
      <c r="G209" t="s">
        <v>471</v>
      </c>
      <c r="H209" t="s">
        <v>472</v>
      </c>
      <c r="I209" t="s">
        <v>9</v>
      </c>
    </row>
    <row r="210" spans="1:9" x14ac:dyDescent="0.2">
      <c r="A210" t="s">
        <v>6</v>
      </c>
      <c r="B210">
        <v>250</v>
      </c>
      <c r="C210">
        <v>101489</v>
      </c>
      <c r="D210">
        <v>25</v>
      </c>
      <c r="E210">
        <v>250</v>
      </c>
      <c r="G210" t="s">
        <v>498</v>
      </c>
      <c r="H210" t="s">
        <v>491</v>
      </c>
      <c r="I210" t="s">
        <v>9</v>
      </c>
    </row>
    <row r="211" spans="1:9" x14ac:dyDescent="0.2">
      <c r="A211" t="s">
        <v>6</v>
      </c>
      <c r="B211">
        <v>1181</v>
      </c>
      <c r="C211">
        <v>153514</v>
      </c>
      <c r="D211">
        <v>27</v>
      </c>
      <c r="E211">
        <v>1181</v>
      </c>
      <c r="G211" t="s">
        <v>467</v>
      </c>
      <c r="H211" t="s">
        <v>458</v>
      </c>
      <c r="I211" t="s">
        <v>9</v>
      </c>
    </row>
    <row r="212" spans="1:9" x14ac:dyDescent="0.2">
      <c r="A212" t="s">
        <v>6</v>
      </c>
      <c r="B212">
        <v>415</v>
      </c>
      <c r="C212">
        <v>221127</v>
      </c>
      <c r="D212">
        <v>28</v>
      </c>
      <c r="E212">
        <v>415</v>
      </c>
      <c r="G212" t="s">
        <v>501</v>
      </c>
      <c r="H212" t="s">
        <v>471</v>
      </c>
      <c r="I212" t="s">
        <v>9</v>
      </c>
    </row>
    <row r="213" spans="1:9" x14ac:dyDescent="0.2">
      <c r="A213" t="s">
        <v>6</v>
      </c>
      <c r="B213">
        <v>32</v>
      </c>
      <c r="C213">
        <v>19589</v>
      </c>
      <c r="D213">
        <v>226</v>
      </c>
      <c r="E213">
        <v>32</v>
      </c>
      <c r="G213" t="s">
        <v>464</v>
      </c>
      <c r="H213" t="s">
        <v>465</v>
      </c>
      <c r="I213" t="s">
        <v>9</v>
      </c>
    </row>
    <row r="214" spans="1:9" x14ac:dyDescent="0.2">
      <c r="A214" t="s">
        <v>6</v>
      </c>
      <c r="B214">
        <v>62</v>
      </c>
      <c r="C214">
        <v>4925</v>
      </c>
      <c r="D214">
        <v>105</v>
      </c>
      <c r="E214">
        <v>62</v>
      </c>
      <c r="G214" t="s">
        <v>495</v>
      </c>
      <c r="H214" t="s">
        <v>496</v>
      </c>
      <c r="I214" t="s">
        <v>9</v>
      </c>
    </row>
    <row r="215" spans="1:9" x14ac:dyDescent="0.2">
      <c r="A215" t="s">
        <v>6</v>
      </c>
      <c r="B215">
        <v>9472</v>
      </c>
      <c r="C215">
        <v>4532245</v>
      </c>
      <c r="D215">
        <v>8</v>
      </c>
      <c r="E215">
        <v>9472</v>
      </c>
      <c r="G215" t="s">
        <v>474</v>
      </c>
      <c r="H215" t="s">
        <v>475</v>
      </c>
      <c r="I215" t="s">
        <v>9</v>
      </c>
    </row>
    <row r="216" spans="1:9" x14ac:dyDescent="0.2">
      <c r="A216" t="s">
        <v>6</v>
      </c>
      <c r="B216">
        <v>4031</v>
      </c>
      <c r="C216">
        <v>3264610</v>
      </c>
      <c r="D216">
        <v>63</v>
      </c>
      <c r="E216">
        <v>4031</v>
      </c>
      <c r="G216" t="s">
        <v>461</v>
      </c>
      <c r="H216" t="s">
        <v>460</v>
      </c>
      <c r="I216" t="s">
        <v>9</v>
      </c>
    </row>
    <row r="217" spans="1:9" x14ac:dyDescent="0.2">
      <c r="A217" t="s">
        <v>6</v>
      </c>
      <c r="B217">
        <v>2070</v>
      </c>
      <c r="C217">
        <v>957067</v>
      </c>
      <c r="D217">
        <v>29</v>
      </c>
      <c r="E217">
        <v>2070</v>
      </c>
      <c r="G217" t="s">
        <v>471</v>
      </c>
      <c r="H217" t="s">
        <v>472</v>
      </c>
      <c r="I217" t="s">
        <v>9</v>
      </c>
    </row>
    <row r="218" spans="1:9" x14ac:dyDescent="0.2">
      <c r="A218" t="s">
        <v>6</v>
      </c>
      <c r="B218">
        <v>13888</v>
      </c>
      <c r="C218">
        <v>10533180</v>
      </c>
      <c r="D218">
        <v>26</v>
      </c>
      <c r="E218">
        <v>13888</v>
      </c>
      <c r="G218" t="s">
        <v>482</v>
      </c>
      <c r="H218" t="s">
        <v>471</v>
      </c>
      <c r="I218" t="s">
        <v>9</v>
      </c>
    </row>
    <row r="219" spans="1:9" x14ac:dyDescent="0.2">
      <c r="A219" t="s">
        <v>6</v>
      </c>
      <c r="B219">
        <v>257</v>
      </c>
      <c r="C219">
        <v>185665</v>
      </c>
      <c r="D219">
        <v>29</v>
      </c>
      <c r="E219">
        <v>257</v>
      </c>
      <c r="G219" t="s">
        <v>471</v>
      </c>
      <c r="H219" t="s">
        <v>472</v>
      </c>
      <c r="I219" t="s">
        <v>9</v>
      </c>
    </row>
    <row r="220" spans="1:9" x14ac:dyDescent="0.2">
      <c r="A220" t="s">
        <v>6</v>
      </c>
      <c r="B220">
        <v>60</v>
      </c>
      <c r="C220">
        <v>15707</v>
      </c>
      <c r="D220">
        <v>12</v>
      </c>
      <c r="E220">
        <v>60</v>
      </c>
      <c r="G220" t="s">
        <v>466</v>
      </c>
      <c r="H220" t="s">
        <v>458</v>
      </c>
      <c r="I220" t="s">
        <v>9</v>
      </c>
    </row>
    <row r="221" spans="1:9" x14ac:dyDescent="0.2">
      <c r="A221" t="s">
        <v>6</v>
      </c>
      <c r="B221">
        <v>150</v>
      </c>
      <c r="C221">
        <v>39060</v>
      </c>
      <c r="D221">
        <v>12</v>
      </c>
      <c r="E221">
        <v>150</v>
      </c>
      <c r="G221" t="s">
        <v>466</v>
      </c>
      <c r="H221" t="s">
        <v>458</v>
      </c>
      <c r="I221" t="s">
        <v>9</v>
      </c>
    </row>
    <row r="222" spans="1:9" x14ac:dyDescent="0.2">
      <c r="A222" t="s">
        <v>6</v>
      </c>
      <c r="B222">
        <v>97</v>
      </c>
      <c r="C222">
        <v>41537</v>
      </c>
      <c r="D222">
        <v>226</v>
      </c>
      <c r="E222">
        <v>97</v>
      </c>
      <c r="G222" t="s">
        <v>464</v>
      </c>
      <c r="H222" t="s">
        <v>465</v>
      </c>
      <c r="I222" t="s">
        <v>9</v>
      </c>
    </row>
    <row r="223" spans="1:9" x14ac:dyDescent="0.2">
      <c r="A223" t="s">
        <v>6</v>
      </c>
      <c r="B223">
        <v>490</v>
      </c>
      <c r="C223">
        <v>182138</v>
      </c>
      <c r="D223">
        <v>29</v>
      </c>
      <c r="E223">
        <v>490</v>
      </c>
      <c r="G223" t="s">
        <v>471</v>
      </c>
      <c r="H223" t="s">
        <v>472</v>
      </c>
      <c r="I223" t="s">
        <v>9</v>
      </c>
    </row>
    <row r="224" spans="1:9" x14ac:dyDescent="0.2">
      <c r="A224" t="s">
        <v>6</v>
      </c>
      <c r="B224">
        <v>13934</v>
      </c>
      <c r="C224">
        <v>1447769</v>
      </c>
      <c r="D224">
        <v>8</v>
      </c>
      <c r="E224">
        <v>13934</v>
      </c>
      <c r="G224" t="s">
        <v>474</v>
      </c>
      <c r="H224" t="s">
        <v>475</v>
      </c>
      <c r="I224" t="s">
        <v>9</v>
      </c>
    </row>
    <row r="225" spans="1:9" x14ac:dyDescent="0.2">
      <c r="A225" t="s">
        <v>6</v>
      </c>
      <c r="B225">
        <v>23</v>
      </c>
      <c r="C225">
        <v>3684</v>
      </c>
      <c r="D225">
        <v>108</v>
      </c>
      <c r="E225">
        <v>23</v>
      </c>
      <c r="G225" t="s">
        <v>512</v>
      </c>
      <c r="H225" t="s">
        <v>465</v>
      </c>
      <c r="I225" t="s">
        <v>9</v>
      </c>
    </row>
    <row r="226" spans="1:9" x14ac:dyDescent="0.2">
      <c r="A226" t="s">
        <v>6</v>
      </c>
      <c r="B226">
        <v>159</v>
      </c>
      <c r="C226">
        <v>94273</v>
      </c>
      <c r="D226">
        <v>12</v>
      </c>
      <c r="E226">
        <v>159</v>
      </c>
      <c r="G226" t="s">
        <v>462</v>
      </c>
      <c r="H226" t="s">
        <v>463</v>
      </c>
      <c r="I226" t="s">
        <v>9</v>
      </c>
    </row>
    <row r="227" spans="1:9" x14ac:dyDescent="0.2">
      <c r="A227" t="s">
        <v>6</v>
      </c>
      <c r="B227">
        <v>2081</v>
      </c>
      <c r="C227">
        <v>1025324</v>
      </c>
      <c r="D227">
        <v>29</v>
      </c>
      <c r="E227">
        <v>2081</v>
      </c>
      <c r="G227" t="s">
        <v>471</v>
      </c>
      <c r="H227" t="s">
        <v>472</v>
      </c>
      <c r="I227" t="s">
        <v>9</v>
      </c>
    </row>
    <row r="228" spans="1:9" x14ac:dyDescent="0.2">
      <c r="A228" t="s">
        <v>6</v>
      </c>
      <c r="B228">
        <v>192</v>
      </c>
      <c r="C228">
        <v>104354</v>
      </c>
      <c r="D228">
        <v>40</v>
      </c>
      <c r="E228">
        <v>192</v>
      </c>
      <c r="G228" t="s">
        <v>479</v>
      </c>
      <c r="H228" t="s">
        <v>480</v>
      </c>
      <c r="I228" t="s">
        <v>9</v>
      </c>
    </row>
    <row r="229" spans="1:9" x14ac:dyDescent="0.2">
      <c r="A229" t="s">
        <v>6</v>
      </c>
      <c r="B229">
        <v>402</v>
      </c>
      <c r="C229">
        <v>171263</v>
      </c>
      <c r="D229">
        <v>226</v>
      </c>
      <c r="E229">
        <v>402</v>
      </c>
      <c r="G229" t="s">
        <v>464</v>
      </c>
      <c r="H229" t="s">
        <v>465</v>
      </c>
      <c r="I229" t="s">
        <v>9</v>
      </c>
    </row>
    <row r="230" spans="1:9" x14ac:dyDescent="0.2">
      <c r="A230" t="s">
        <v>6</v>
      </c>
      <c r="B230">
        <v>281</v>
      </c>
      <c r="C230">
        <v>134513</v>
      </c>
      <c r="D230">
        <v>226</v>
      </c>
      <c r="E230">
        <v>281</v>
      </c>
      <c r="G230" t="s">
        <v>464</v>
      </c>
      <c r="H230" t="s">
        <v>465</v>
      </c>
      <c r="I230" t="s">
        <v>9</v>
      </c>
    </row>
    <row r="231" spans="1:9" x14ac:dyDescent="0.2">
      <c r="A231" t="s">
        <v>6</v>
      </c>
      <c r="B231">
        <v>580</v>
      </c>
      <c r="C231">
        <v>330353</v>
      </c>
      <c r="D231">
        <v>32</v>
      </c>
      <c r="E231">
        <v>580</v>
      </c>
      <c r="G231" t="s">
        <v>479</v>
      </c>
      <c r="H231" t="s">
        <v>463</v>
      </c>
      <c r="I231" t="s">
        <v>9</v>
      </c>
    </row>
    <row r="232" spans="1:9" x14ac:dyDescent="0.2">
      <c r="A232" t="s">
        <v>6</v>
      </c>
      <c r="B232">
        <v>77</v>
      </c>
      <c r="C232">
        <v>48012</v>
      </c>
      <c r="D232">
        <v>7</v>
      </c>
      <c r="E232">
        <v>77</v>
      </c>
      <c r="G232" t="s">
        <v>462</v>
      </c>
      <c r="H232" t="s">
        <v>477</v>
      </c>
      <c r="I232" t="s">
        <v>9</v>
      </c>
    </row>
    <row r="233" spans="1:9" x14ac:dyDescent="0.2">
      <c r="A233" t="s">
        <v>6</v>
      </c>
      <c r="B233">
        <v>35</v>
      </c>
      <c r="C233">
        <v>3958</v>
      </c>
      <c r="D233">
        <v>27</v>
      </c>
      <c r="E233">
        <v>35</v>
      </c>
      <c r="G233" t="s">
        <v>467</v>
      </c>
      <c r="H233" t="s">
        <v>458</v>
      </c>
      <c r="I233" t="s">
        <v>9</v>
      </c>
    </row>
    <row r="234" spans="1:9" x14ac:dyDescent="0.2">
      <c r="A234" t="s">
        <v>6</v>
      </c>
      <c r="B234">
        <v>0</v>
      </c>
      <c r="C234">
        <v>1</v>
      </c>
      <c r="D234">
        <v>10</v>
      </c>
      <c r="E234">
        <v>0</v>
      </c>
      <c r="G234" t="s">
        <v>492</v>
      </c>
      <c r="H234" t="s">
        <v>493</v>
      </c>
      <c r="I234" t="s">
        <v>9</v>
      </c>
    </row>
    <row r="235" spans="1:9" x14ac:dyDescent="0.2">
      <c r="A235" t="s">
        <v>6</v>
      </c>
      <c r="B235">
        <v>2085</v>
      </c>
      <c r="C235">
        <v>1712451</v>
      </c>
      <c r="D235">
        <v>63</v>
      </c>
      <c r="E235">
        <v>2085</v>
      </c>
      <c r="G235" t="s">
        <v>461</v>
      </c>
      <c r="H235" t="s">
        <v>460</v>
      </c>
      <c r="I235" t="s">
        <v>9</v>
      </c>
    </row>
    <row r="236" spans="1:9" x14ac:dyDescent="0.2">
      <c r="A236" t="s">
        <v>6</v>
      </c>
      <c r="B236">
        <v>2089</v>
      </c>
      <c r="C236">
        <v>1029122</v>
      </c>
      <c r="D236">
        <v>29</v>
      </c>
      <c r="E236">
        <v>2089</v>
      </c>
      <c r="G236" t="s">
        <v>471</v>
      </c>
      <c r="H236" t="s">
        <v>472</v>
      </c>
      <c r="I236" t="s">
        <v>9</v>
      </c>
    </row>
    <row r="237" spans="1:9" x14ac:dyDescent="0.2">
      <c r="A237" t="s">
        <v>6</v>
      </c>
      <c r="B237">
        <v>22918</v>
      </c>
      <c r="C237">
        <v>10806135</v>
      </c>
      <c r="D237">
        <v>8</v>
      </c>
      <c r="E237">
        <v>22918</v>
      </c>
      <c r="G237" t="s">
        <v>474</v>
      </c>
      <c r="H237" t="s">
        <v>475</v>
      </c>
      <c r="I237" t="s">
        <v>9</v>
      </c>
    </row>
    <row r="238" spans="1:9" x14ac:dyDescent="0.2">
      <c r="A238" t="s">
        <v>6</v>
      </c>
      <c r="B238">
        <v>14373</v>
      </c>
      <c r="C238">
        <v>1478306</v>
      </c>
      <c r="D238">
        <v>8</v>
      </c>
      <c r="E238">
        <v>14373</v>
      </c>
      <c r="G238" t="s">
        <v>474</v>
      </c>
      <c r="H238" t="s">
        <v>475</v>
      </c>
      <c r="I238" t="s">
        <v>9</v>
      </c>
    </row>
    <row r="239" spans="1:9" x14ac:dyDescent="0.2">
      <c r="A239" t="s">
        <v>6</v>
      </c>
      <c r="B239">
        <v>2942</v>
      </c>
      <c r="C239">
        <v>1211779</v>
      </c>
      <c r="D239">
        <v>31</v>
      </c>
      <c r="E239">
        <v>2942</v>
      </c>
      <c r="G239" t="s">
        <v>470</v>
      </c>
      <c r="H239" t="s">
        <v>471</v>
      </c>
      <c r="I239" t="s">
        <v>9</v>
      </c>
    </row>
    <row r="240" spans="1:9" x14ac:dyDescent="0.2">
      <c r="A240" t="s">
        <v>6</v>
      </c>
      <c r="B240">
        <v>6203</v>
      </c>
      <c r="C240">
        <v>649771</v>
      </c>
      <c r="D240">
        <v>63</v>
      </c>
      <c r="E240">
        <v>6203</v>
      </c>
      <c r="G240" t="s">
        <v>461</v>
      </c>
      <c r="H240" t="s">
        <v>460</v>
      </c>
      <c r="I240" t="s">
        <v>9</v>
      </c>
    </row>
    <row r="241" spans="1:9" x14ac:dyDescent="0.2">
      <c r="A241" t="s">
        <v>6</v>
      </c>
      <c r="B241">
        <v>128</v>
      </c>
      <c r="C241">
        <v>125843</v>
      </c>
      <c r="D241">
        <v>31</v>
      </c>
      <c r="E241">
        <v>128</v>
      </c>
      <c r="G241" t="s">
        <v>470</v>
      </c>
      <c r="H241" t="s">
        <v>471</v>
      </c>
      <c r="I241" t="s">
        <v>9</v>
      </c>
    </row>
    <row r="242" spans="1:9" x14ac:dyDescent="0.2">
      <c r="A242" t="s">
        <v>6</v>
      </c>
      <c r="B242">
        <v>4935</v>
      </c>
      <c r="C242">
        <v>2439394</v>
      </c>
      <c r="D242">
        <v>10</v>
      </c>
      <c r="E242">
        <v>4935</v>
      </c>
      <c r="G242" t="s">
        <v>492</v>
      </c>
      <c r="H242" t="s">
        <v>493</v>
      </c>
      <c r="I242" t="s">
        <v>9</v>
      </c>
    </row>
    <row r="243" spans="1:9" x14ac:dyDescent="0.2">
      <c r="A243" t="s">
        <v>6</v>
      </c>
      <c r="B243">
        <v>75</v>
      </c>
      <c r="C243">
        <v>19573</v>
      </c>
      <c r="D243">
        <v>22</v>
      </c>
      <c r="E243">
        <v>75</v>
      </c>
      <c r="G243" t="s">
        <v>469</v>
      </c>
      <c r="H243" t="s">
        <v>458</v>
      </c>
      <c r="I243" t="s">
        <v>9</v>
      </c>
    </row>
    <row r="244" spans="1:9" x14ac:dyDescent="0.2">
      <c r="A244" t="s">
        <v>6</v>
      </c>
      <c r="B244">
        <v>467</v>
      </c>
      <c r="C244">
        <v>187718</v>
      </c>
      <c r="D244">
        <v>29</v>
      </c>
      <c r="E244">
        <v>467</v>
      </c>
      <c r="G244" t="s">
        <v>471</v>
      </c>
      <c r="H244" t="s">
        <v>472</v>
      </c>
      <c r="I244" t="s">
        <v>9</v>
      </c>
    </row>
    <row r="245" spans="1:9" x14ac:dyDescent="0.2">
      <c r="A245" t="s">
        <v>6</v>
      </c>
      <c r="B245">
        <v>83</v>
      </c>
      <c r="C245">
        <v>48647</v>
      </c>
      <c r="D245">
        <v>40</v>
      </c>
      <c r="E245">
        <v>83</v>
      </c>
      <c r="G245" t="s">
        <v>479</v>
      </c>
      <c r="H245" t="s">
        <v>480</v>
      </c>
      <c r="I245" t="s">
        <v>9</v>
      </c>
    </row>
    <row r="246" spans="1:9" x14ac:dyDescent="0.2">
      <c r="A246" t="s">
        <v>6</v>
      </c>
      <c r="B246">
        <v>2458</v>
      </c>
      <c r="C246">
        <v>254425</v>
      </c>
      <c r="D246">
        <v>84</v>
      </c>
      <c r="E246">
        <v>2458</v>
      </c>
      <c r="G246" t="s">
        <v>459</v>
      </c>
      <c r="H246" t="s">
        <v>460</v>
      </c>
      <c r="I246" t="s">
        <v>9</v>
      </c>
    </row>
    <row r="247" spans="1:9" x14ac:dyDescent="0.2">
      <c r="A247" t="s">
        <v>6</v>
      </c>
      <c r="B247">
        <v>952</v>
      </c>
      <c r="C247">
        <v>783180</v>
      </c>
      <c r="D247">
        <v>63</v>
      </c>
      <c r="E247">
        <v>952</v>
      </c>
      <c r="G247" t="s">
        <v>461</v>
      </c>
      <c r="H247" t="s">
        <v>460</v>
      </c>
      <c r="I247" t="s">
        <v>9</v>
      </c>
    </row>
    <row r="248" spans="1:9" x14ac:dyDescent="0.2">
      <c r="A248" t="s">
        <v>6</v>
      </c>
      <c r="B248">
        <v>1318</v>
      </c>
      <c r="C248">
        <v>1043530</v>
      </c>
      <c r="D248">
        <v>63</v>
      </c>
      <c r="E248">
        <v>1318</v>
      </c>
      <c r="G248" t="s">
        <v>461</v>
      </c>
      <c r="H248" t="s">
        <v>460</v>
      </c>
      <c r="I248" t="s">
        <v>9</v>
      </c>
    </row>
    <row r="249" spans="1:9" x14ac:dyDescent="0.2">
      <c r="A249" t="s">
        <v>6</v>
      </c>
      <c r="B249">
        <v>3095</v>
      </c>
      <c r="C249">
        <v>321934</v>
      </c>
      <c r="D249">
        <v>6</v>
      </c>
      <c r="E249">
        <v>3095</v>
      </c>
      <c r="G249" t="s">
        <v>462</v>
      </c>
      <c r="H249" t="s">
        <v>461</v>
      </c>
      <c r="I249" t="s">
        <v>9</v>
      </c>
    </row>
    <row r="250" spans="1:9" x14ac:dyDescent="0.2">
      <c r="A250" t="s">
        <v>6</v>
      </c>
      <c r="B250">
        <v>176</v>
      </c>
      <c r="C250">
        <v>275338</v>
      </c>
      <c r="D250">
        <v>9</v>
      </c>
      <c r="E250">
        <v>176</v>
      </c>
      <c r="G250" t="s">
        <v>500</v>
      </c>
      <c r="H250" t="s">
        <v>484</v>
      </c>
      <c r="I250" t="s">
        <v>9</v>
      </c>
    </row>
    <row r="251" spans="1:9" x14ac:dyDescent="0.2">
      <c r="A251" t="s">
        <v>6</v>
      </c>
      <c r="B251">
        <v>971</v>
      </c>
      <c r="C251">
        <v>456619</v>
      </c>
      <c r="D251">
        <v>63</v>
      </c>
      <c r="E251">
        <v>971</v>
      </c>
      <c r="G251" t="s">
        <v>461</v>
      </c>
      <c r="H251" t="s">
        <v>460</v>
      </c>
      <c r="I251" t="s">
        <v>9</v>
      </c>
    </row>
    <row r="252" spans="1:9" x14ac:dyDescent="0.2">
      <c r="A252" t="s">
        <v>6</v>
      </c>
      <c r="B252">
        <v>1000</v>
      </c>
      <c r="C252">
        <v>2525589</v>
      </c>
      <c r="D252">
        <v>6</v>
      </c>
      <c r="E252">
        <v>1000</v>
      </c>
      <c r="G252" t="s">
        <v>507</v>
      </c>
      <c r="H252" t="s">
        <v>487</v>
      </c>
      <c r="I252" t="s">
        <v>9</v>
      </c>
    </row>
    <row r="253" spans="1:9" x14ac:dyDescent="0.2">
      <c r="A253" t="s">
        <v>6</v>
      </c>
      <c r="B253">
        <v>129</v>
      </c>
      <c r="C253">
        <v>66953</v>
      </c>
      <c r="D253">
        <v>12</v>
      </c>
      <c r="E253">
        <v>129</v>
      </c>
      <c r="G253" t="s">
        <v>462</v>
      </c>
      <c r="H253" t="s">
        <v>463</v>
      </c>
      <c r="I253" t="s">
        <v>9</v>
      </c>
    </row>
    <row r="254" spans="1:9" x14ac:dyDescent="0.2">
      <c r="A254" t="s">
        <v>6</v>
      </c>
      <c r="B254">
        <v>473</v>
      </c>
      <c r="C254">
        <v>46029</v>
      </c>
      <c r="D254">
        <v>4</v>
      </c>
      <c r="E254">
        <v>473</v>
      </c>
      <c r="G254" t="s">
        <v>468</v>
      </c>
      <c r="H254" t="s">
        <v>469</v>
      </c>
      <c r="I254" t="s">
        <v>9</v>
      </c>
    </row>
    <row r="255" spans="1:9" x14ac:dyDescent="0.2">
      <c r="A255" t="s">
        <v>6</v>
      </c>
      <c r="B255">
        <v>75000</v>
      </c>
      <c r="C255">
        <v>30938595</v>
      </c>
      <c r="D255">
        <v>3</v>
      </c>
      <c r="E255">
        <v>75000</v>
      </c>
      <c r="G255" t="s">
        <v>510</v>
      </c>
      <c r="H255" t="s">
        <v>483</v>
      </c>
      <c r="I255" t="s">
        <v>9</v>
      </c>
    </row>
    <row r="256" spans="1:9" x14ac:dyDescent="0.2">
      <c r="A256" t="s">
        <v>6</v>
      </c>
      <c r="B256">
        <v>2755</v>
      </c>
      <c r="C256">
        <v>1064823</v>
      </c>
      <c r="D256">
        <v>24</v>
      </c>
      <c r="E256">
        <v>2755</v>
      </c>
      <c r="G256" t="s">
        <v>467</v>
      </c>
      <c r="H256" t="s">
        <v>472</v>
      </c>
      <c r="I256" t="s">
        <v>9</v>
      </c>
    </row>
    <row r="257" spans="1:9" x14ac:dyDescent="0.2">
      <c r="A257" t="s">
        <v>6</v>
      </c>
      <c r="B257">
        <v>84</v>
      </c>
      <c r="C257">
        <v>52370</v>
      </c>
      <c r="D257">
        <v>7</v>
      </c>
      <c r="E257">
        <v>84</v>
      </c>
      <c r="G257" t="s">
        <v>462</v>
      </c>
      <c r="H257" t="s">
        <v>477</v>
      </c>
      <c r="I257" t="s">
        <v>9</v>
      </c>
    </row>
    <row r="258" spans="1:9" x14ac:dyDescent="0.2">
      <c r="A258" t="s">
        <v>6</v>
      </c>
      <c r="B258">
        <v>468</v>
      </c>
      <c r="C258">
        <v>267392</v>
      </c>
      <c r="D258">
        <v>32</v>
      </c>
      <c r="E258">
        <v>468</v>
      </c>
      <c r="G258" t="s">
        <v>479</v>
      </c>
      <c r="H258" t="s">
        <v>463</v>
      </c>
      <c r="I258" t="s">
        <v>9</v>
      </c>
    </row>
    <row r="259" spans="1:9" x14ac:dyDescent="0.2">
      <c r="A259" t="s">
        <v>6</v>
      </c>
      <c r="B259">
        <v>155</v>
      </c>
      <c r="C259">
        <v>171264</v>
      </c>
      <c r="D259">
        <v>24</v>
      </c>
      <c r="E259">
        <v>155</v>
      </c>
      <c r="G259" t="s">
        <v>513</v>
      </c>
      <c r="H259" t="s">
        <v>514</v>
      </c>
      <c r="I259" t="s">
        <v>9</v>
      </c>
    </row>
    <row r="260" spans="1:9" x14ac:dyDescent="0.2">
      <c r="A260" t="s">
        <v>6</v>
      </c>
      <c r="B260">
        <v>42</v>
      </c>
      <c r="C260">
        <v>37242</v>
      </c>
      <c r="D260">
        <v>26</v>
      </c>
      <c r="E260">
        <v>42</v>
      </c>
      <c r="G260" t="s">
        <v>482</v>
      </c>
      <c r="H260" t="s">
        <v>471</v>
      </c>
      <c r="I260" t="s">
        <v>9</v>
      </c>
    </row>
    <row r="261" spans="1:9" x14ac:dyDescent="0.2">
      <c r="A261" t="s">
        <v>6</v>
      </c>
      <c r="B261">
        <v>6142</v>
      </c>
      <c r="C261">
        <v>640980</v>
      </c>
      <c r="D261">
        <v>63</v>
      </c>
      <c r="E261">
        <v>6142</v>
      </c>
      <c r="G261" t="s">
        <v>461</v>
      </c>
      <c r="H261" t="s">
        <v>460</v>
      </c>
      <c r="I261" t="s">
        <v>9</v>
      </c>
    </row>
    <row r="262" spans="1:9" x14ac:dyDescent="0.2">
      <c r="A262" t="s">
        <v>6</v>
      </c>
      <c r="B262">
        <v>69</v>
      </c>
      <c r="C262">
        <v>39278</v>
      </c>
      <c r="D262">
        <v>226</v>
      </c>
      <c r="E262">
        <v>69</v>
      </c>
      <c r="G262" t="s">
        <v>464</v>
      </c>
      <c r="H262" t="s">
        <v>465</v>
      </c>
      <c r="I262" t="s">
        <v>9</v>
      </c>
    </row>
    <row r="263" spans="1:9" x14ac:dyDescent="0.2">
      <c r="A263" t="s">
        <v>6</v>
      </c>
      <c r="B263">
        <v>3376</v>
      </c>
      <c r="C263">
        <v>1438134</v>
      </c>
      <c r="D263">
        <v>51</v>
      </c>
      <c r="E263">
        <v>3376</v>
      </c>
      <c r="G263" t="s">
        <v>459</v>
      </c>
      <c r="H263" t="s">
        <v>485</v>
      </c>
      <c r="I263" t="s">
        <v>9</v>
      </c>
    </row>
    <row r="264" spans="1:9" x14ac:dyDescent="0.2">
      <c r="A264" t="s">
        <v>6</v>
      </c>
      <c r="B264">
        <v>118</v>
      </c>
      <c r="C264">
        <v>54483</v>
      </c>
      <c r="D264">
        <v>226</v>
      </c>
      <c r="E264">
        <v>118</v>
      </c>
      <c r="G264" t="s">
        <v>464</v>
      </c>
      <c r="H264" t="s">
        <v>465</v>
      </c>
      <c r="I264" t="s">
        <v>9</v>
      </c>
    </row>
    <row r="265" spans="1:9" x14ac:dyDescent="0.2">
      <c r="A265" t="s">
        <v>6</v>
      </c>
      <c r="B265">
        <v>299</v>
      </c>
      <c r="C265">
        <v>34071</v>
      </c>
      <c r="D265">
        <v>27</v>
      </c>
      <c r="E265">
        <v>299</v>
      </c>
      <c r="G265" t="s">
        <v>467</v>
      </c>
      <c r="H265" t="s">
        <v>458</v>
      </c>
      <c r="I265" t="s">
        <v>9</v>
      </c>
    </row>
    <row r="266" spans="1:9" x14ac:dyDescent="0.2">
      <c r="A266" t="s">
        <v>6</v>
      </c>
      <c r="B266">
        <v>150</v>
      </c>
      <c r="C266">
        <v>59492</v>
      </c>
      <c r="D266">
        <v>7</v>
      </c>
      <c r="E266">
        <v>150</v>
      </c>
      <c r="G266" t="s">
        <v>463</v>
      </c>
      <c r="H266" t="s">
        <v>469</v>
      </c>
      <c r="I266" t="s">
        <v>9</v>
      </c>
    </row>
    <row r="267" spans="1:9" x14ac:dyDescent="0.2">
      <c r="A267" t="s">
        <v>6</v>
      </c>
      <c r="B267">
        <v>59</v>
      </c>
      <c r="C267">
        <v>15555</v>
      </c>
      <c r="D267">
        <v>12</v>
      </c>
      <c r="E267">
        <v>59</v>
      </c>
      <c r="G267" t="s">
        <v>466</v>
      </c>
      <c r="H267" t="s">
        <v>458</v>
      </c>
      <c r="I267" t="s">
        <v>9</v>
      </c>
    </row>
    <row r="268" spans="1:9" x14ac:dyDescent="0.2">
      <c r="A268" t="s">
        <v>6</v>
      </c>
      <c r="B268">
        <v>1520</v>
      </c>
      <c r="C268">
        <v>452486</v>
      </c>
      <c r="D268">
        <v>86</v>
      </c>
      <c r="E268">
        <v>1520</v>
      </c>
      <c r="G268" t="s">
        <v>504</v>
      </c>
      <c r="H268" t="s">
        <v>487</v>
      </c>
      <c r="I268" t="s">
        <v>9</v>
      </c>
    </row>
    <row r="269" spans="1:9" x14ac:dyDescent="0.2">
      <c r="A269" t="s">
        <v>6</v>
      </c>
      <c r="B269">
        <v>137</v>
      </c>
      <c r="C269">
        <v>59602</v>
      </c>
      <c r="D269">
        <v>28</v>
      </c>
      <c r="E269">
        <v>137</v>
      </c>
      <c r="G269" t="s">
        <v>506</v>
      </c>
      <c r="H269" t="s">
        <v>480</v>
      </c>
      <c r="I269" t="s">
        <v>9</v>
      </c>
    </row>
    <row r="270" spans="1:9" x14ac:dyDescent="0.2">
      <c r="A270" t="s">
        <v>6</v>
      </c>
      <c r="B270">
        <v>1247</v>
      </c>
      <c r="C270">
        <v>488233</v>
      </c>
      <c r="D270">
        <v>29</v>
      </c>
      <c r="E270">
        <v>1247</v>
      </c>
      <c r="G270" t="s">
        <v>471</v>
      </c>
      <c r="H270" t="s">
        <v>472</v>
      </c>
      <c r="I270" t="s">
        <v>9</v>
      </c>
    </row>
    <row r="271" spans="1:9" x14ac:dyDescent="0.2">
      <c r="A271" t="s">
        <v>6</v>
      </c>
      <c r="B271">
        <v>183</v>
      </c>
      <c r="C271">
        <v>106227</v>
      </c>
      <c r="D271">
        <v>40</v>
      </c>
      <c r="E271">
        <v>183</v>
      </c>
      <c r="G271" t="s">
        <v>479</v>
      </c>
      <c r="H271" t="s">
        <v>480</v>
      </c>
      <c r="I271" t="s">
        <v>9</v>
      </c>
    </row>
    <row r="272" spans="1:9" x14ac:dyDescent="0.2">
      <c r="A272" t="s">
        <v>6</v>
      </c>
      <c r="B272">
        <v>498</v>
      </c>
      <c r="C272">
        <v>48361</v>
      </c>
      <c r="D272">
        <v>4</v>
      </c>
      <c r="E272">
        <v>498</v>
      </c>
      <c r="G272" t="s">
        <v>468</v>
      </c>
      <c r="H272" t="s">
        <v>469</v>
      </c>
      <c r="I272" t="s">
        <v>9</v>
      </c>
    </row>
    <row r="273" spans="1:9" x14ac:dyDescent="0.2">
      <c r="A273" t="s">
        <v>6</v>
      </c>
      <c r="B273">
        <v>84</v>
      </c>
      <c r="C273">
        <v>52390</v>
      </c>
      <c r="D273">
        <v>7</v>
      </c>
      <c r="E273">
        <v>84</v>
      </c>
      <c r="G273" t="s">
        <v>462</v>
      </c>
      <c r="H273" t="s">
        <v>477</v>
      </c>
      <c r="I273" t="s">
        <v>9</v>
      </c>
    </row>
    <row r="274" spans="1:9" x14ac:dyDescent="0.2">
      <c r="A274" t="s">
        <v>6</v>
      </c>
      <c r="B274">
        <v>1714</v>
      </c>
      <c r="C274">
        <v>637774</v>
      </c>
      <c r="D274">
        <v>32</v>
      </c>
      <c r="E274">
        <v>1714</v>
      </c>
      <c r="G274" t="s">
        <v>479</v>
      </c>
      <c r="H274" t="s">
        <v>463</v>
      </c>
      <c r="I274" t="s">
        <v>9</v>
      </c>
    </row>
    <row r="275" spans="1:9" x14ac:dyDescent="0.2">
      <c r="A275" t="s">
        <v>6</v>
      </c>
      <c r="B275">
        <v>4103</v>
      </c>
      <c r="C275">
        <v>1018289</v>
      </c>
      <c r="D275">
        <v>6</v>
      </c>
      <c r="E275">
        <v>4103</v>
      </c>
      <c r="G275" t="s">
        <v>462</v>
      </c>
      <c r="H275" t="s">
        <v>461</v>
      </c>
      <c r="I275" t="s">
        <v>9</v>
      </c>
    </row>
    <row r="276" spans="1:9" x14ac:dyDescent="0.2">
      <c r="A276" t="s">
        <v>6</v>
      </c>
      <c r="B276">
        <v>2071</v>
      </c>
      <c r="C276">
        <v>601747</v>
      </c>
      <c r="D276">
        <v>31</v>
      </c>
      <c r="E276">
        <v>2071</v>
      </c>
      <c r="G276" t="s">
        <v>470</v>
      </c>
      <c r="H276" t="s">
        <v>471</v>
      </c>
      <c r="I276" t="s">
        <v>9</v>
      </c>
    </row>
    <row r="277" spans="1:9" x14ac:dyDescent="0.2">
      <c r="A277" t="s">
        <v>6</v>
      </c>
      <c r="B277">
        <v>7803</v>
      </c>
      <c r="C277">
        <v>6860837</v>
      </c>
      <c r="D277">
        <v>63</v>
      </c>
      <c r="E277">
        <v>7803</v>
      </c>
      <c r="G277" t="s">
        <v>461</v>
      </c>
      <c r="H277" t="s">
        <v>460</v>
      </c>
      <c r="I277" t="s">
        <v>9</v>
      </c>
    </row>
    <row r="278" spans="1:9" x14ac:dyDescent="0.2">
      <c r="A278" t="s">
        <v>6</v>
      </c>
      <c r="B278">
        <v>9080</v>
      </c>
      <c r="C278">
        <v>951631</v>
      </c>
      <c r="D278">
        <v>63</v>
      </c>
      <c r="E278">
        <v>9080</v>
      </c>
      <c r="G278" t="s">
        <v>461</v>
      </c>
      <c r="H278" t="s">
        <v>460</v>
      </c>
      <c r="I278" t="s">
        <v>9</v>
      </c>
    </row>
    <row r="279" spans="1:9" x14ac:dyDescent="0.2">
      <c r="A279" t="s">
        <v>6</v>
      </c>
      <c r="B279">
        <v>0</v>
      </c>
      <c r="C279">
        <v>2</v>
      </c>
      <c r="D279">
        <v>10</v>
      </c>
      <c r="E279">
        <v>0</v>
      </c>
      <c r="G279" t="s">
        <v>492</v>
      </c>
      <c r="H279" t="s">
        <v>493</v>
      </c>
      <c r="I279" t="s">
        <v>9</v>
      </c>
    </row>
    <row r="280" spans="1:9" x14ac:dyDescent="0.2">
      <c r="A280" t="s">
        <v>6</v>
      </c>
      <c r="B280">
        <v>256</v>
      </c>
      <c r="C280">
        <v>26101</v>
      </c>
      <c r="D280">
        <v>4</v>
      </c>
      <c r="E280">
        <v>256</v>
      </c>
      <c r="G280" t="s">
        <v>468</v>
      </c>
      <c r="H280" t="s">
        <v>469</v>
      </c>
      <c r="I280" t="s">
        <v>9</v>
      </c>
    </row>
    <row r="281" spans="1:9" x14ac:dyDescent="0.2">
      <c r="A281" t="s">
        <v>6</v>
      </c>
      <c r="B281">
        <v>509</v>
      </c>
      <c r="C281">
        <v>204643</v>
      </c>
      <c r="D281">
        <v>17</v>
      </c>
      <c r="E281">
        <v>509</v>
      </c>
      <c r="G281" t="s">
        <v>503</v>
      </c>
      <c r="H281" t="s">
        <v>474</v>
      </c>
      <c r="I281" t="s">
        <v>9</v>
      </c>
    </row>
    <row r="282" spans="1:9" x14ac:dyDescent="0.2">
      <c r="A282" t="s">
        <v>6</v>
      </c>
      <c r="B282">
        <v>53</v>
      </c>
      <c r="C282">
        <v>19480</v>
      </c>
      <c r="D282">
        <v>-1</v>
      </c>
      <c r="E282">
        <v>53</v>
      </c>
      <c r="G282" t="s">
        <v>510</v>
      </c>
      <c r="H282" t="s">
        <v>471</v>
      </c>
      <c r="I282" t="s">
        <v>9</v>
      </c>
    </row>
    <row r="283" spans="1:9" x14ac:dyDescent="0.2">
      <c r="A283" t="s">
        <v>6</v>
      </c>
      <c r="B283">
        <v>21</v>
      </c>
      <c r="C283">
        <v>5536</v>
      </c>
      <c r="D283">
        <v>10</v>
      </c>
      <c r="E283">
        <v>21</v>
      </c>
      <c r="G283" t="s">
        <v>457</v>
      </c>
      <c r="H283" t="s">
        <v>458</v>
      </c>
      <c r="I283" t="s">
        <v>9</v>
      </c>
    </row>
    <row r="284" spans="1:9" x14ac:dyDescent="0.2">
      <c r="A284" t="s">
        <v>6</v>
      </c>
      <c r="B284">
        <v>398</v>
      </c>
      <c r="C284">
        <v>41546</v>
      </c>
      <c r="D284">
        <v>287</v>
      </c>
      <c r="E284">
        <v>398</v>
      </c>
      <c r="G284" t="s">
        <v>488</v>
      </c>
      <c r="H284" t="s">
        <v>489</v>
      </c>
      <c r="I284" t="s">
        <v>9</v>
      </c>
    </row>
    <row r="285" spans="1:9" x14ac:dyDescent="0.2">
      <c r="A285" t="s">
        <v>6</v>
      </c>
      <c r="B285">
        <v>513</v>
      </c>
      <c r="C285">
        <v>189523</v>
      </c>
      <c r="D285">
        <v>29</v>
      </c>
      <c r="E285">
        <v>513</v>
      </c>
      <c r="G285" t="s">
        <v>471</v>
      </c>
      <c r="H285" t="s">
        <v>472</v>
      </c>
      <c r="I285" t="s">
        <v>9</v>
      </c>
    </row>
    <row r="286" spans="1:9" x14ac:dyDescent="0.2">
      <c r="A286" t="s">
        <v>6</v>
      </c>
      <c r="B286">
        <v>8631</v>
      </c>
      <c r="C286">
        <v>5063771</v>
      </c>
      <c r="D286">
        <v>84</v>
      </c>
      <c r="E286">
        <v>8631</v>
      </c>
      <c r="G286" t="s">
        <v>459</v>
      </c>
      <c r="H286" t="s">
        <v>460</v>
      </c>
      <c r="I286" t="s">
        <v>9</v>
      </c>
    </row>
    <row r="287" spans="1:9" x14ac:dyDescent="0.2">
      <c r="A287" t="s">
        <v>6</v>
      </c>
      <c r="B287">
        <v>77</v>
      </c>
      <c r="C287">
        <v>47934</v>
      </c>
      <c r="D287">
        <v>7</v>
      </c>
      <c r="E287">
        <v>77</v>
      </c>
      <c r="G287" t="s">
        <v>462</v>
      </c>
      <c r="H287" t="s">
        <v>477</v>
      </c>
      <c r="I287" t="s">
        <v>9</v>
      </c>
    </row>
    <row r="288" spans="1:9" x14ac:dyDescent="0.2">
      <c r="A288" t="s">
        <v>6</v>
      </c>
      <c r="B288">
        <v>9158</v>
      </c>
      <c r="C288">
        <v>959695</v>
      </c>
      <c r="D288">
        <v>63</v>
      </c>
      <c r="E288">
        <v>9158</v>
      </c>
      <c r="G288" t="s">
        <v>461</v>
      </c>
      <c r="H288" t="s">
        <v>460</v>
      </c>
      <c r="I288" t="s">
        <v>9</v>
      </c>
    </row>
    <row r="289" spans="1:9" x14ac:dyDescent="0.2">
      <c r="A289" t="s">
        <v>6</v>
      </c>
      <c r="B289">
        <v>236</v>
      </c>
      <c r="C289">
        <v>88170</v>
      </c>
      <c r="D289">
        <v>81</v>
      </c>
      <c r="E289">
        <v>236</v>
      </c>
      <c r="G289" t="s">
        <v>478</v>
      </c>
      <c r="H289" t="s">
        <v>474</v>
      </c>
      <c r="I289" t="s">
        <v>9</v>
      </c>
    </row>
    <row r="290" spans="1:9" x14ac:dyDescent="0.2">
      <c r="A290" t="s">
        <v>6</v>
      </c>
      <c r="B290">
        <v>1121</v>
      </c>
      <c r="C290">
        <v>287613</v>
      </c>
      <c r="D290">
        <v>14</v>
      </c>
      <c r="E290">
        <v>1121</v>
      </c>
      <c r="G290" t="s">
        <v>486</v>
      </c>
      <c r="H290" t="s">
        <v>471</v>
      </c>
      <c r="I290" t="s">
        <v>9</v>
      </c>
    </row>
    <row r="291" spans="1:9" x14ac:dyDescent="0.2">
      <c r="A291" t="s">
        <v>6</v>
      </c>
      <c r="B291">
        <v>79</v>
      </c>
      <c r="C291">
        <v>50202</v>
      </c>
      <c r="D291">
        <v>4</v>
      </c>
      <c r="E291">
        <v>79</v>
      </c>
      <c r="G291" t="s">
        <v>467</v>
      </c>
      <c r="H291" t="s">
        <v>491</v>
      </c>
      <c r="I291" t="s">
        <v>9</v>
      </c>
    </row>
    <row r="292" spans="1:9" x14ac:dyDescent="0.2">
      <c r="A292" t="s">
        <v>6</v>
      </c>
      <c r="B292">
        <v>115</v>
      </c>
      <c r="C292">
        <v>100954</v>
      </c>
      <c r="D292">
        <v>10</v>
      </c>
      <c r="E292">
        <v>115</v>
      </c>
      <c r="G292" t="s">
        <v>466</v>
      </c>
      <c r="H292" t="s">
        <v>515</v>
      </c>
      <c r="I292" t="s">
        <v>9</v>
      </c>
    </row>
    <row r="293" spans="1:9" x14ac:dyDescent="0.2">
      <c r="A293" t="s">
        <v>6</v>
      </c>
      <c r="B293">
        <v>222</v>
      </c>
      <c r="C293">
        <v>156255</v>
      </c>
      <c r="D293">
        <v>35</v>
      </c>
      <c r="E293">
        <v>222</v>
      </c>
      <c r="G293" t="s">
        <v>462</v>
      </c>
      <c r="H293" t="s">
        <v>476</v>
      </c>
      <c r="I293" t="s">
        <v>9</v>
      </c>
    </row>
    <row r="294" spans="1:9" x14ac:dyDescent="0.2">
      <c r="A294" t="s">
        <v>6</v>
      </c>
      <c r="B294">
        <v>1861</v>
      </c>
      <c r="C294">
        <v>794747</v>
      </c>
      <c r="D294">
        <v>32</v>
      </c>
      <c r="E294">
        <v>1861</v>
      </c>
      <c r="G294" t="s">
        <v>479</v>
      </c>
      <c r="H294" t="s">
        <v>463</v>
      </c>
      <c r="I294" t="s">
        <v>9</v>
      </c>
    </row>
    <row r="295" spans="1:9" x14ac:dyDescent="0.2">
      <c r="A295" t="s">
        <v>6</v>
      </c>
      <c r="B295">
        <v>494</v>
      </c>
      <c r="C295">
        <v>282465</v>
      </c>
      <c r="D295">
        <v>32</v>
      </c>
      <c r="E295">
        <v>494</v>
      </c>
      <c r="G295" t="s">
        <v>479</v>
      </c>
      <c r="H295" t="s">
        <v>463</v>
      </c>
      <c r="I295" t="s">
        <v>9</v>
      </c>
    </row>
    <row r="296" spans="1:9" x14ac:dyDescent="0.2">
      <c r="A296" t="s">
        <v>6</v>
      </c>
      <c r="B296">
        <v>75</v>
      </c>
      <c r="C296">
        <v>18614</v>
      </c>
      <c r="D296">
        <v>7</v>
      </c>
      <c r="E296">
        <v>75</v>
      </c>
      <c r="G296" t="s">
        <v>463</v>
      </c>
      <c r="H296" t="s">
        <v>469</v>
      </c>
      <c r="I296" t="s">
        <v>9</v>
      </c>
    </row>
    <row r="297" spans="1:9" x14ac:dyDescent="0.2">
      <c r="A297" t="s">
        <v>6</v>
      </c>
      <c r="B297">
        <v>368</v>
      </c>
      <c r="C297">
        <v>186668</v>
      </c>
      <c r="D297">
        <v>31</v>
      </c>
      <c r="E297">
        <v>368</v>
      </c>
      <c r="G297" t="s">
        <v>470</v>
      </c>
      <c r="H297" t="s">
        <v>471</v>
      </c>
      <c r="I297" t="s">
        <v>9</v>
      </c>
    </row>
    <row r="298" spans="1:9" x14ac:dyDescent="0.2">
      <c r="A298" t="s">
        <v>6</v>
      </c>
      <c r="B298">
        <v>7</v>
      </c>
      <c r="C298">
        <v>2054</v>
      </c>
      <c r="D298">
        <v>10</v>
      </c>
      <c r="E298">
        <v>7</v>
      </c>
      <c r="G298" t="s">
        <v>457</v>
      </c>
      <c r="H298" t="s">
        <v>458</v>
      </c>
      <c r="I298" t="s">
        <v>9</v>
      </c>
    </row>
    <row r="299" spans="1:9" x14ac:dyDescent="0.2">
      <c r="A299" t="s">
        <v>6</v>
      </c>
      <c r="B299">
        <v>162</v>
      </c>
      <c r="C299">
        <v>39443</v>
      </c>
      <c r="D299">
        <v>12</v>
      </c>
      <c r="E299">
        <v>162</v>
      </c>
      <c r="G299" t="s">
        <v>477</v>
      </c>
      <c r="H299" t="s">
        <v>469</v>
      </c>
      <c r="I299" t="s">
        <v>9</v>
      </c>
    </row>
    <row r="300" spans="1:9" x14ac:dyDescent="0.2">
      <c r="A300" t="s">
        <v>6</v>
      </c>
      <c r="B300">
        <v>21744</v>
      </c>
      <c r="C300">
        <v>2228902</v>
      </c>
      <c r="D300">
        <v>8</v>
      </c>
      <c r="E300">
        <v>21744</v>
      </c>
      <c r="G300" t="s">
        <v>474</v>
      </c>
      <c r="H300" t="s">
        <v>475</v>
      </c>
      <c r="I300" t="s">
        <v>9</v>
      </c>
    </row>
    <row r="301" spans="1:9" x14ac:dyDescent="0.2">
      <c r="A301" t="s">
        <v>6</v>
      </c>
      <c r="B301">
        <v>768</v>
      </c>
      <c r="C301">
        <v>642798</v>
      </c>
      <c r="D301">
        <v>84</v>
      </c>
      <c r="E301">
        <v>768</v>
      </c>
      <c r="G301" t="s">
        <v>459</v>
      </c>
      <c r="H301" t="s">
        <v>460</v>
      </c>
      <c r="I301" t="s">
        <v>9</v>
      </c>
    </row>
    <row r="302" spans="1:9" x14ac:dyDescent="0.2">
      <c r="A302" t="s">
        <v>6</v>
      </c>
      <c r="B302">
        <v>3</v>
      </c>
      <c r="C302">
        <v>975</v>
      </c>
      <c r="D302">
        <v>10</v>
      </c>
      <c r="E302">
        <v>3</v>
      </c>
      <c r="G302" t="s">
        <v>457</v>
      </c>
      <c r="H302" t="s">
        <v>458</v>
      </c>
      <c r="I302" t="s">
        <v>9</v>
      </c>
    </row>
    <row r="303" spans="1:9" x14ac:dyDescent="0.2">
      <c r="A303" t="s">
        <v>6</v>
      </c>
      <c r="B303">
        <v>68</v>
      </c>
      <c r="C303">
        <v>18203</v>
      </c>
      <c r="D303">
        <v>4</v>
      </c>
      <c r="E303">
        <v>68</v>
      </c>
      <c r="G303" t="s">
        <v>516</v>
      </c>
      <c r="H303" t="s">
        <v>506</v>
      </c>
      <c r="I303" t="s">
        <v>9</v>
      </c>
    </row>
    <row r="304" spans="1:9" x14ac:dyDescent="0.2">
      <c r="A304" t="s">
        <v>6</v>
      </c>
      <c r="B304">
        <v>200</v>
      </c>
      <c r="C304">
        <v>73915</v>
      </c>
      <c r="D304">
        <v>3</v>
      </c>
      <c r="E304">
        <v>200</v>
      </c>
      <c r="G304" t="s">
        <v>461</v>
      </c>
      <c r="H304" t="s">
        <v>471</v>
      </c>
      <c r="I304" t="s">
        <v>9</v>
      </c>
    </row>
    <row r="305" spans="1:9" x14ac:dyDescent="0.2">
      <c r="A305" t="s">
        <v>6</v>
      </c>
      <c r="B305">
        <v>176</v>
      </c>
      <c r="C305">
        <v>284412</v>
      </c>
      <c r="D305">
        <v>9</v>
      </c>
      <c r="E305">
        <v>176</v>
      </c>
      <c r="G305" t="s">
        <v>500</v>
      </c>
      <c r="H305" t="s">
        <v>484</v>
      </c>
      <c r="I305" t="s">
        <v>9</v>
      </c>
    </row>
    <row r="306" spans="1:9" x14ac:dyDescent="0.2">
      <c r="A306" t="s">
        <v>6</v>
      </c>
      <c r="B306">
        <v>3700</v>
      </c>
      <c r="C306">
        <v>1661369</v>
      </c>
      <c r="D306">
        <v>63</v>
      </c>
      <c r="E306">
        <v>3700</v>
      </c>
      <c r="G306" t="s">
        <v>461</v>
      </c>
      <c r="H306" t="s">
        <v>460</v>
      </c>
      <c r="I306" t="s">
        <v>9</v>
      </c>
    </row>
    <row r="307" spans="1:9" x14ac:dyDescent="0.2">
      <c r="A307" t="s">
        <v>6</v>
      </c>
      <c r="B307">
        <v>13</v>
      </c>
      <c r="C307">
        <v>3609</v>
      </c>
      <c r="D307">
        <v>10</v>
      </c>
      <c r="E307">
        <v>13</v>
      </c>
      <c r="G307" t="s">
        <v>457</v>
      </c>
      <c r="H307" t="s">
        <v>458</v>
      </c>
      <c r="I307" t="s">
        <v>9</v>
      </c>
    </row>
    <row r="308" spans="1:9" x14ac:dyDescent="0.2">
      <c r="A308" t="s">
        <v>6</v>
      </c>
      <c r="B308">
        <v>2</v>
      </c>
      <c r="C308">
        <v>695</v>
      </c>
      <c r="D308">
        <v>10</v>
      </c>
      <c r="E308">
        <v>2</v>
      </c>
      <c r="G308" t="s">
        <v>457</v>
      </c>
      <c r="H308" t="s">
        <v>458</v>
      </c>
      <c r="I308" t="s">
        <v>9</v>
      </c>
    </row>
    <row r="309" spans="1:9" x14ac:dyDescent="0.2">
      <c r="A309" t="s">
        <v>6</v>
      </c>
      <c r="B309">
        <v>11000</v>
      </c>
      <c r="C309">
        <v>2600565</v>
      </c>
      <c r="D309">
        <v>14</v>
      </c>
      <c r="E309">
        <v>11000</v>
      </c>
      <c r="G309" t="s">
        <v>503</v>
      </c>
      <c r="H309" t="s">
        <v>483</v>
      </c>
      <c r="I309" t="s">
        <v>9</v>
      </c>
    </row>
    <row r="310" spans="1:9" x14ac:dyDescent="0.2">
      <c r="A310" t="s">
        <v>6</v>
      </c>
      <c r="B310">
        <v>416</v>
      </c>
      <c r="C310">
        <v>372095</v>
      </c>
      <c r="D310">
        <v>63</v>
      </c>
      <c r="E310">
        <v>416</v>
      </c>
      <c r="G310" t="s">
        <v>461</v>
      </c>
      <c r="H310" t="s">
        <v>460</v>
      </c>
      <c r="I310" t="s">
        <v>9</v>
      </c>
    </row>
    <row r="311" spans="1:9" x14ac:dyDescent="0.2">
      <c r="A311" t="s">
        <v>6</v>
      </c>
      <c r="B311">
        <v>38612</v>
      </c>
      <c r="C311">
        <v>15214105</v>
      </c>
      <c r="D311">
        <v>63</v>
      </c>
      <c r="E311">
        <v>38612</v>
      </c>
      <c r="G311" t="s">
        <v>461</v>
      </c>
      <c r="H311" t="s">
        <v>460</v>
      </c>
      <c r="I311" t="s">
        <v>9</v>
      </c>
    </row>
    <row r="312" spans="1:9" x14ac:dyDescent="0.2">
      <c r="A312" t="s">
        <v>6</v>
      </c>
      <c r="B312">
        <v>2525</v>
      </c>
      <c r="C312">
        <v>2096106</v>
      </c>
      <c r="D312">
        <v>26</v>
      </c>
      <c r="E312">
        <v>2525</v>
      </c>
      <c r="G312" t="s">
        <v>482</v>
      </c>
      <c r="H312" t="s">
        <v>471</v>
      </c>
      <c r="I312" t="s">
        <v>9</v>
      </c>
    </row>
    <row r="313" spans="1:9" x14ac:dyDescent="0.2">
      <c r="A313" t="s">
        <v>6</v>
      </c>
      <c r="B313">
        <v>136</v>
      </c>
      <c r="C313">
        <v>81730</v>
      </c>
      <c r="D313">
        <v>12</v>
      </c>
      <c r="E313">
        <v>136</v>
      </c>
      <c r="G313" t="s">
        <v>462</v>
      </c>
      <c r="H313" t="s">
        <v>463</v>
      </c>
      <c r="I313" t="s">
        <v>9</v>
      </c>
    </row>
    <row r="314" spans="1:9" x14ac:dyDescent="0.2">
      <c r="A314" t="s">
        <v>6</v>
      </c>
      <c r="B314">
        <v>141</v>
      </c>
      <c r="C314">
        <v>46180</v>
      </c>
      <c r="D314">
        <v>111</v>
      </c>
      <c r="E314">
        <v>141</v>
      </c>
      <c r="G314" t="s">
        <v>491</v>
      </c>
      <c r="H314" t="s">
        <v>465</v>
      </c>
      <c r="I314" t="s">
        <v>9</v>
      </c>
    </row>
    <row r="315" spans="1:9" x14ac:dyDescent="0.2">
      <c r="A315" t="s">
        <v>6</v>
      </c>
      <c r="B315">
        <v>39</v>
      </c>
      <c r="C315">
        <v>22278</v>
      </c>
      <c r="D315">
        <v>226</v>
      </c>
      <c r="E315">
        <v>39</v>
      </c>
      <c r="G315" t="s">
        <v>464</v>
      </c>
      <c r="H315" t="s">
        <v>465</v>
      </c>
      <c r="I315" t="s">
        <v>9</v>
      </c>
    </row>
    <row r="316" spans="1:9" x14ac:dyDescent="0.2">
      <c r="A316" t="s">
        <v>6</v>
      </c>
      <c r="B316">
        <v>448</v>
      </c>
      <c r="C316">
        <v>56298</v>
      </c>
      <c r="D316">
        <v>27</v>
      </c>
      <c r="E316">
        <v>448</v>
      </c>
      <c r="G316" t="s">
        <v>467</v>
      </c>
      <c r="H316" t="s">
        <v>458</v>
      </c>
      <c r="I316" t="s">
        <v>9</v>
      </c>
    </row>
    <row r="317" spans="1:9" x14ac:dyDescent="0.2">
      <c r="A317" t="s">
        <v>6</v>
      </c>
      <c r="B317">
        <v>674</v>
      </c>
      <c r="C317">
        <v>452202</v>
      </c>
      <c r="D317">
        <v>31</v>
      </c>
      <c r="E317">
        <v>674</v>
      </c>
      <c r="G317" t="s">
        <v>470</v>
      </c>
      <c r="H317" t="s">
        <v>471</v>
      </c>
      <c r="I317" t="s">
        <v>9</v>
      </c>
    </row>
    <row r="318" spans="1:9" x14ac:dyDescent="0.2">
      <c r="A318" t="s">
        <v>6</v>
      </c>
      <c r="B318">
        <v>14668</v>
      </c>
      <c r="C318">
        <v>9877070</v>
      </c>
      <c r="D318">
        <v>26</v>
      </c>
      <c r="E318">
        <v>14668</v>
      </c>
      <c r="G318" t="s">
        <v>482</v>
      </c>
      <c r="H318" t="s">
        <v>471</v>
      </c>
      <c r="I318" t="s">
        <v>9</v>
      </c>
    </row>
    <row r="319" spans="1:9" x14ac:dyDescent="0.2">
      <c r="A319" t="s">
        <v>6</v>
      </c>
      <c r="B319">
        <v>151</v>
      </c>
      <c r="C319">
        <v>79632</v>
      </c>
      <c r="D319">
        <v>12</v>
      </c>
      <c r="E319">
        <v>151</v>
      </c>
      <c r="G319" t="s">
        <v>462</v>
      </c>
      <c r="H319" t="s">
        <v>463</v>
      </c>
      <c r="I319" t="s">
        <v>9</v>
      </c>
    </row>
    <row r="320" spans="1:9" x14ac:dyDescent="0.2">
      <c r="A320" t="s">
        <v>6</v>
      </c>
      <c r="B320">
        <v>1241</v>
      </c>
      <c r="C320">
        <v>609145</v>
      </c>
      <c r="D320">
        <v>27</v>
      </c>
      <c r="E320">
        <v>1241</v>
      </c>
      <c r="G320" t="s">
        <v>501</v>
      </c>
      <c r="H320" t="s">
        <v>487</v>
      </c>
      <c r="I320" t="s">
        <v>9</v>
      </c>
    </row>
    <row r="321" spans="1:9" x14ac:dyDescent="0.2">
      <c r="A321" t="s">
        <v>6</v>
      </c>
      <c r="B321">
        <v>200</v>
      </c>
      <c r="C321">
        <v>81239</v>
      </c>
      <c r="D321">
        <v>25</v>
      </c>
      <c r="E321">
        <v>200</v>
      </c>
      <c r="G321" t="s">
        <v>498</v>
      </c>
      <c r="H321" t="s">
        <v>491</v>
      </c>
      <c r="I321" t="s">
        <v>9</v>
      </c>
    </row>
    <row r="322" spans="1:9" x14ac:dyDescent="0.2">
      <c r="A322" t="s">
        <v>6</v>
      </c>
      <c r="B322">
        <v>1</v>
      </c>
      <c r="C322">
        <v>277</v>
      </c>
      <c r="D322">
        <v>10</v>
      </c>
      <c r="E322">
        <v>1</v>
      </c>
      <c r="G322" t="s">
        <v>457</v>
      </c>
      <c r="H322" t="s">
        <v>458</v>
      </c>
      <c r="I322" t="s">
        <v>9</v>
      </c>
    </row>
    <row r="323" spans="1:9" x14ac:dyDescent="0.2">
      <c r="A323" t="s">
        <v>6</v>
      </c>
      <c r="B323">
        <v>91</v>
      </c>
      <c r="C323">
        <v>23745</v>
      </c>
      <c r="D323">
        <v>10</v>
      </c>
      <c r="E323">
        <v>91</v>
      </c>
      <c r="G323" t="s">
        <v>457</v>
      </c>
      <c r="H323" t="s">
        <v>458</v>
      </c>
      <c r="I323" t="s">
        <v>9</v>
      </c>
    </row>
    <row r="324" spans="1:9" x14ac:dyDescent="0.2">
      <c r="A324" t="s">
        <v>6</v>
      </c>
      <c r="B324">
        <v>2083</v>
      </c>
      <c r="C324">
        <v>1795623</v>
      </c>
      <c r="D324">
        <v>63</v>
      </c>
      <c r="E324">
        <v>2083</v>
      </c>
      <c r="G324" t="s">
        <v>461</v>
      </c>
      <c r="H324" t="s">
        <v>460</v>
      </c>
      <c r="I324" t="s">
        <v>9</v>
      </c>
    </row>
    <row r="325" spans="1:9" x14ac:dyDescent="0.2">
      <c r="A325" t="s">
        <v>6</v>
      </c>
      <c r="B325">
        <v>108</v>
      </c>
      <c r="C325">
        <v>53960</v>
      </c>
      <c r="D325">
        <v>26</v>
      </c>
      <c r="E325">
        <v>108</v>
      </c>
      <c r="G325" t="s">
        <v>463</v>
      </c>
      <c r="H325" t="s">
        <v>472</v>
      </c>
      <c r="I325" t="s">
        <v>9</v>
      </c>
    </row>
    <row r="326" spans="1:9" x14ac:dyDescent="0.2">
      <c r="A326" t="s">
        <v>6</v>
      </c>
      <c r="B326">
        <v>1244</v>
      </c>
      <c r="C326">
        <v>427200</v>
      </c>
      <c r="D326">
        <v>29</v>
      </c>
      <c r="E326">
        <v>1244</v>
      </c>
      <c r="G326" t="s">
        <v>471</v>
      </c>
      <c r="H326" t="s">
        <v>472</v>
      </c>
      <c r="I326" t="s">
        <v>9</v>
      </c>
    </row>
    <row r="327" spans="1:9" x14ac:dyDescent="0.2">
      <c r="A327" t="s">
        <v>6</v>
      </c>
      <c r="B327">
        <v>41595</v>
      </c>
      <c r="C327">
        <v>25112803</v>
      </c>
      <c r="D327">
        <v>21</v>
      </c>
      <c r="E327">
        <v>41595</v>
      </c>
      <c r="G327" t="s">
        <v>459</v>
      </c>
      <c r="H327" t="s">
        <v>461</v>
      </c>
      <c r="I327" t="s">
        <v>9</v>
      </c>
    </row>
    <row r="328" spans="1:9" x14ac:dyDescent="0.2">
      <c r="A328" t="s">
        <v>6</v>
      </c>
      <c r="B328">
        <v>136</v>
      </c>
      <c r="C328">
        <v>15330</v>
      </c>
      <c r="D328">
        <v>27</v>
      </c>
      <c r="E328">
        <v>136</v>
      </c>
      <c r="G328" t="s">
        <v>467</v>
      </c>
      <c r="H328" t="s">
        <v>458</v>
      </c>
      <c r="I328" t="s">
        <v>9</v>
      </c>
    </row>
    <row r="329" spans="1:9" x14ac:dyDescent="0.2">
      <c r="A329" t="s">
        <v>6</v>
      </c>
      <c r="B329">
        <v>988</v>
      </c>
      <c r="C329">
        <v>577345</v>
      </c>
      <c r="D329">
        <v>29</v>
      </c>
      <c r="E329">
        <v>988</v>
      </c>
      <c r="G329" t="s">
        <v>471</v>
      </c>
      <c r="H329" t="s">
        <v>472</v>
      </c>
      <c r="I329" t="s">
        <v>9</v>
      </c>
    </row>
    <row r="330" spans="1:9" x14ac:dyDescent="0.2">
      <c r="A330" t="s">
        <v>6</v>
      </c>
      <c r="B330">
        <v>1903</v>
      </c>
      <c r="C330">
        <v>776680</v>
      </c>
      <c r="D330">
        <v>32</v>
      </c>
      <c r="E330">
        <v>1903</v>
      </c>
      <c r="G330" t="s">
        <v>479</v>
      </c>
      <c r="H330" t="s">
        <v>463</v>
      </c>
      <c r="I330" t="s">
        <v>9</v>
      </c>
    </row>
    <row r="331" spans="1:9" x14ac:dyDescent="0.2">
      <c r="A331" t="s">
        <v>6</v>
      </c>
      <c r="B331">
        <v>1306</v>
      </c>
      <c r="C331">
        <v>1065452</v>
      </c>
      <c r="D331">
        <v>63</v>
      </c>
      <c r="E331">
        <v>1306</v>
      </c>
      <c r="G331" t="s">
        <v>461</v>
      </c>
      <c r="H331" t="s">
        <v>460</v>
      </c>
      <c r="I331" t="s">
        <v>9</v>
      </c>
    </row>
    <row r="332" spans="1:9" x14ac:dyDescent="0.2">
      <c r="A332" t="s">
        <v>6</v>
      </c>
      <c r="B332">
        <v>153</v>
      </c>
      <c r="C332">
        <v>67938</v>
      </c>
      <c r="D332">
        <v>12</v>
      </c>
      <c r="E332">
        <v>153</v>
      </c>
      <c r="G332" t="s">
        <v>462</v>
      </c>
      <c r="H332" t="s">
        <v>463</v>
      </c>
      <c r="I332" t="s">
        <v>9</v>
      </c>
    </row>
    <row r="333" spans="1:9" x14ac:dyDescent="0.2">
      <c r="A333" t="s">
        <v>6</v>
      </c>
      <c r="B333">
        <v>495</v>
      </c>
      <c r="C333">
        <v>55793</v>
      </c>
      <c r="D333">
        <v>27</v>
      </c>
      <c r="E333">
        <v>495</v>
      </c>
      <c r="G333" t="s">
        <v>467</v>
      </c>
      <c r="H333" t="s">
        <v>458</v>
      </c>
      <c r="I333" t="s">
        <v>9</v>
      </c>
    </row>
    <row r="334" spans="1:9" x14ac:dyDescent="0.2">
      <c r="A334" t="s">
        <v>6</v>
      </c>
      <c r="B334">
        <v>149</v>
      </c>
      <c r="C334">
        <v>69962</v>
      </c>
      <c r="D334">
        <v>12</v>
      </c>
      <c r="E334">
        <v>149</v>
      </c>
      <c r="G334" t="s">
        <v>462</v>
      </c>
      <c r="H334" t="s">
        <v>463</v>
      </c>
      <c r="I334" t="s">
        <v>9</v>
      </c>
    </row>
    <row r="335" spans="1:9" x14ac:dyDescent="0.2">
      <c r="A335" t="s">
        <v>6</v>
      </c>
      <c r="B335">
        <v>9800</v>
      </c>
      <c r="C335">
        <v>4688603</v>
      </c>
      <c r="D335">
        <v>8</v>
      </c>
      <c r="E335">
        <v>9800</v>
      </c>
      <c r="G335" t="s">
        <v>474</v>
      </c>
      <c r="H335" t="s">
        <v>475</v>
      </c>
      <c r="I335" t="s">
        <v>9</v>
      </c>
    </row>
    <row r="336" spans="1:9" x14ac:dyDescent="0.2">
      <c r="A336" t="s">
        <v>6</v>
      </c>
      <c r="B336">
        <v>21842</v>
      </c>
      <c r="C336">
        <v>10303977</v>
      </c>
      <c r="D336">
        <v>8</v>
      </c>
      <c r="E336">
        <v>21842</v>
      </c>
      <c r="G336" t="s">
        <v>474</v>
      </c>
      <c r="H336" t="s">
        <v>475</v>
      </c>
      <c r="I336" t="s">
        <v>9</v>
      </c>
    </row>
    <row r="337" spans="1:9" x14ac:dyDescent="0.2">
      <c r="A337" t="s">
        <v>6</v>
      </c>
      <c r="B337">
        <v>5031</v>
      </c>
      <c r="C337">
        <v>526125</v>
      </c>
      <c r="D337">
        <v>10</v>
      </c>
      <c r="E337">
        <v>5031</v>
      </c>
      <c r="G337" t="s">
        <v>492</v>
      </c>
      <c r="H337" t="s">
        <v>493</v>
      </c>
      <c r="I337" t="s">
        <v>9</v>
      </c>
    </row>
    <row r="338" spans="1:9" x14ac:dyDescent="0.2">
      <c r="A338" t="s">
        <v>6</v>
      </c>
      <c r="B338">
        <v>0</v>
      </c>
      <c r="C338">
        <v>97</v>
      </c>
      <c r="D338">
        <v>4</v>
      </c>
      <c r="E338">
        <v>0</v>
      </c>
      <c r="G338" t="s">
        <v>468</v>
      </c>
      <c r="H338" t="s">
        <v>469</v>
      </c>
      <c r="I338" t="s">
        <v>9</v>
      </c>
    </row>
    <row r="339" spans="1:9" x14ac:dyDescent="0.2">
      <c r="A339" t="s">
        <v>6</v>
      </c>
      <c r="B339">
        <v>934</v>
      </c>
      <c r="C339">
        <v>125337</v>
      </c>
      <c r="D339">
        <v>27</v>
      </c>
      <c r="E339">
        <v>934</v>
      </c>
      <c r="G339" t="s">
        <v>467</v>
      </c>
      <c r="H339" t="s">
        <v>458</v>
      </c>
      <c r="I339" t="s">
        <v>9</v>
      </c>
    </row>
    <row r="340" spans="1:9" x14ac:dyDescent="0.2">
      <c r="A340" t="s">
        <v>6</v>
      </c>
      <c r="B340">
        <v>698</v>
      </c>
      <c r="C340">
        <v>87630</v>
      </c>
      <c r="D340">
        <v>27</v>
      </c>
      <c r="E340">
        <v>698</v>
      </c>
      <c r="G340" t="s">
        <v>467</v>
      </c>
      <c r="H340" t="s">
        <v>458</v>
      </c>
      <c r="I340" t="s">
        <v>9</v>
      </c>
    </row>
    <row r="341" spans="1:9" x14ac:dyDescent="0.2">
      <c r="A341" t="s">
        <v>6</v>
      </c>
      <c r="B341">
        <v>750</v>
      </c>
      <c r="C341">
        <v>327183</v>
      </c>
      <c r="D341">
        <v>31</v>
      </c>
      <c r="E341">
        <v>750</v>
      </c>
      <c r="G341" t="s">
        <v>470</v>
      </c>
      <c r="H341" t="s">
        <v>471</v>
      </c>
      <c r="I341" t="s">
        <v>9</v>
      </c>
    </row>
    <row r="342" spans="1:9" x14ac:dyDescent="0.2">
      <c r="A342" t="s">
        <v>6</v>
      </c>
      <c r="B342">
        <v>289</v>
      </c>
      <c r="C342">
        <v>144678</v>
      </c>
      <c r="D342">
        <v>26</v>
      </c>
      <c r="E342">
        <v>289</v>
      </c>
      <c r="G342" t="s">
        <v>463</v>
      </c>
      <c r="H342" t="s">
        <v>472</v>
      </c>
      <c r="I342" t="s">
        <v>9</v>
      </c>
    </row>
    <row r="343" spans="1:9" x14ac:dyDescent="0.2">
      <c r="A343" t="s">
        <v>6</v>
      </c>
      <c r="B343">
        <v>111</v>
      </c>
      <c r="C343">
        <v>64790</v>
      </c>
      <c r="D343">
        <v>12</v>
      </c>
      <c r="E343">
        <v>111</v>
      </c>
      <c r="G343" t="s">
        <v>462</v>
      </c>
      <c r="H343" t="s">
        <v>463</v>
      </c>
      <c r="I343" t="s">
        <v>9</v>
      </c>
    </row>
    <row r="344" spans="1:9" x14ac:dyDescent="0.2">
      <c r="A344" t="s">
        <v>6</v>
      </c>
      <c r="B344">
        <v>928</v>
      </c>
      <c r="C344">
        <v>443774</v>
      </c>
      <c r="D344">
        <v>63</v>
      </c>
      <c r="E344">
        <v>928</v>
      </c>
      <c r="G344" t="s">
        <v>461</v>
      </c>
      <c r="H344" t="s">
        <v>460</v>
      </c>
      <c r="I344" t="s">
        <v>9</v>
      </c>
    </row>
    <row r="345" spans="1:9" x14ac:dyDescent="0.2">
      <c r="A345" t="s">
        <v>6</v>
      </c>
      <c r="B345">
        <v>936</v>
      </c>
      <c r="C345">
        <v>466961</v>
      </c>
      <c r="D345">
        <v>12</v>
      </c>
      <c r="E345">
        <v>936</v>
      </c>
      <c r="G345" t="s">
        <v>473</v>
      </c>
      <c r="H345" t="s">
        <v>471</v>
      </c>
      <c r="I345" t="s">
        <v>9</v>
      </c>
    </row>
    <row r="346" spans="1:9" x14ac:dyDescent="0.2">
      <c r="A346" t="s">
        <v>6</v>
      </c>
      <c r="B346">
        <v>150</v>
      </c>
      <c r="C346">
        <v>59502</v>
      </c>
      <c r="D346">
        <v>7</v>
      </c>
      <c r="E346">
        <v>150</v>
      </c>
      <c r="G346" t="s">
        <v>463</v>
      </c>
      <c r="H346" t="s">
        <v>469</v>
      </c>
      <c r="I346" t="s">
        <v>9</v>
      </c>
    </row>
    <row r="347" spans="1:9" x14ac:dyDescent="0.2">
      <c r="A347" t="s">
        <v>6</v>
      </c>
      <c r="B347">
        <v>3069</v>
      </c>
      <c r="C347">
        <v>2067537</v>
      </c>
      <c r="D347">
        <v>17</v>
      </c>
      <c r="E347">
        <v>3069</v>
      </c>
      <c r="G347" t="s">
        <v>503</v>
      </c>
      <c r="H347" t="s">
        <v>474</v>
      </c>
      <c r="I347" t="s">
        <v>9</v>
      </c>
    </row>
    <row r="348" spans="1:9" x14ac:dyDescent="0.2">
      <c r="A348" t="s">
        <v>6</v>
      </c>
      <c r="B348">
        <v>65</v>
      </c>
      <c r="C348">
        <v>6959</v>
      </c>
      <c r="D348">
        <v>27</v>
      </c>
      <c r="E348">
        <v>65</v>
      </c>
      <c r="G348" t="s">
        <v>467</v>
      </c>
      <c r="H348" t="s">
        <v>458</v>
      </c>
      <c r="I348" t="s">
        <v>9</v>
      </c>
    </row>
    <row r="349" spans="1:9" x14ac:dyDescent="0.2">
      <c r="A349" t="s">
        <v>6</v>
      </c>
      <c r="B349">
        <v>19</v>
      </c>
      <c r="C349">
        <v>22409</v>
      </c>
      <c r="D349">
        <v>1</v>
      </c>
      <c r="E349">
        <v>19</v>
      </c>
      <c r="G349" t="s">
        <v>503</v>
      </c>
      <c r="H349" t="s">
        <v>462</v>
      </c>
      <c r="I349" t="s">
        <v>9</v>
      </c>
    </row>
    <row r="350" spans="1:9" x14ac:dyDescent="0.2">
      <c r="A350" t="s">
        <v>6</v>
      </c>
      <c r="B350">
        <v>0</v>
      </c>
      <c r="C350">
        <v>1</v>
      </c>
      <c r="D350">
        <v>0</v>
      </c>
      <c r="E350">
        <v>0</v>
      </c>
      <c r="G350" t="s">
        <v>471</v>
      </c>
      <c r="H350" t="s">
        <v>471</v>
      </c>
      <c r="I350" t="s">
        <v>9</v>
      </c>
    </row>
    <row r="351" spans="1:9" x14ac:dyDescent="0.2">
      <c r="A351" t="s">
        <v>6</v>
      </c>
      <c r="B351">
        <v>152</v>
      </c>
      <c r="C351">
        <v>106794</v>
      </c>
      <c r="D351">
        <v>35</v>
      </c>
      <c r="E351">
        <v>152</v>
      </c>
      <c r="G351" t="s">
        <v>462</v>
      </c>
      <c r="H351" t="s">
        <v>476</v>
      </c>
      <c r="I351" t="s">
        <v>9</v>
      </c>
    </row>
    <row r="352" spans="1:9" x14ac:dyDescent="0.2">
      <c r="A352" t="s">
        <v>6</v>
      </c>
      <c r="B352">
        <v>351</v>
      </c>
      <c r="C352">
        <v>173703</v>
      </c>
      <c r="D352">
        <v>32</v>
      </c>
      <c r="E352">
        <v>351</v>
      </c>
      <c r="G352" t="s">
        <v>479</v>
      </c>
      <c r="H352" t="s">
        <v>463</v>
      </c>
      <c r="I352" t="s">
        <v>9</v>
      </c>
    </row>
    <row r="353" spans="1:9" x14ac:dyDescent="0.2">
      <c r="A353" t="s">
        <v>6</v>
      </c>
      <c r="B353">
        <v>8314</v>
      </c>
      <c r="C353">
        <v>3531568</v>
      </c>
      <c r="D353">
        <v>84</v>
      </c>
      <c r="E353">
        <v>8314</v>
      </c>
      <c r="G353" t="s">
        <v>459</v>
      </c>
      <c r="H353" t="s">
        <v>460</v>
      </c>
      <c r="I353" t="s">
        <v>9</v>
      </c>
    </row>
    <row r="354" spans="1:9" x14ac:dyDescent="0.2">
      <c r="A354" t="s">
        <v>6</v>
      </c>
      <c r="B354">
        <v>56</v>
      </c>
      <c r="C354">
        <v>14753</v>
      </c>
      <c r="D354">
        <v>21</v>
      </c>
      <c r="E354">
        <v>56</v>
      </c>
      <c r="G354" t="s">
        <v>469</v>
      </c>
      <c r="H354" t="s">
        <v>493</v>
      </c>
      <c r="I354" t="s">
        <v>9</v>
      </c>
    </row>
    <row r="355" spans="1:9" x14ac:dyDescent="0.2">
      <c r="A355" t="s">
        <v>6</v>
      </c>
      <c r="B355">
        <v>195</v>
      </c>
      <c r="C355">
        <v>84803</v>
      </c>
      <c r="D355">
        <v>226</v>
      </c>
      <c r="E355">
        <v>195</v>
      </c>
      <c r="G355" t="s">
        <v>464</v>
      </c>
      <c r="H355" t="s">
        <v>465</v>
      </c>
      <c r="I355" t="s">
        <v>9</v>
      </c>
    </row>
    <row r="356" spans="1:9" x14ac:dyDescent="0.2">
      <c r="A356" t="s">
        <v>6</v>
      </c>
      <c r="B356">
        <v>725</v>
      </c>
      <c r="C356">
        <v>257322</v>
      </c>
      <c r="D356">
        <v>29</v>
      </c>
      <c r="E356">
        <v>725</v>
      </c>
      <c r="G356" t="s">
        <v>471</v>
      </c>
      <c r="H356" t="s">
        <v>472</v>
      </c>
      <c r="I356" t="s">
        <v>9</v>
      </c>
    </row>
    <row r="357" spans="1:9" x14ac:dyDescent="0.2">
      <c r="A357" t="s">
        <v>6</v>
      </c>
      <c r="B357">
        <v>4</v>
      </c>
      <c r="C357">
        <v>2585</v>
      </c>
      <c r="D357">
        <v>12</v>
      </c>
      <c r="E357">
        <v>4</v>
      </c>
      <c r="G357" t="s">
        <v>462</v>
      </c>
      <c r="H357" t="s">
        <v>463</v>
      </c>
      <c r="I357" t="s">
        <v>9</v>
      </c>
    </row>
    <row r="358" spans="1:9" x14ac:dyDescent="0.2">
      <c r="A358" t="s">
        <v>6</v>
      </c>
      <c r="B358">
        <v>2126</v>
      </c>
      <c r="C358">
        <v>926624</v>
      </c>
      <c r="D358">
        <v>29</v>
      </c>
      <c r="E358">
        <v>2126</v>
      </c>
      <c r="G358" t="s">
        <v>471</v>
      </c>
      <c r="H358" t="s">
        <v>472</v>
      </c>
      <c r="I358" t="s">
        <v>9</v>
      </c>
    </row>
    <row r="359" spans="1:9" x14ac:dyDescent="0.2">
      <c r="A359" t="s">
        <v>6</v>
      </c>
      <c r="B359">
        <v>527</v>
      </c>
      <c r="C359">
        <v>63097</v>
      </c>
      <c r="D359">
        <v>40</v>
      </c>
      <c r="E359">
        <v>527</v>
      </c>
      <c r="G359" t="s">
        <v>466</v>
      </c>
      <c r="H359" t="s">
        <v>460</v>
      </c>
      <c r="I359" t="s">
        <v>9</v>
      </c>
    </row>
    <row r="360" spans="1:9" x14ac:dyDescent="0.2">
      <c r="A360" t="s">
        <v>6</v>
      </c>
      <c r="B360">
        <v>186</v>
      </c>
      <c r="C360">
        <v>106725</v>
      </c>
      <c r="D360">
        <v>12</v>
      </c>
      <c r="E360">
        <v>186</v>
      </c>
      <c r="G360" t="s">
        <v>462</v>
      </c>
      <c r="H360" t="s">
        <v>463</v>
      </c>
      <c r="I360" t="s">
        <v>9</v>
      </c>
    </row>
    <row r="361" spans="1:9" x14ac:dyDescent="0.2">
      <c r="A361" t="s">
        <v>6</v>
      </c>
      <c r="B361">
        <v>5</v>
      </c>
      <c r="C361">
        <v>1455</v>
      </c>
      <c r="D361">
        <v>10</v>
      </c>
      <c r="E361">
        <v>5</v>
      </c>
      <c r="G361" t="s">
        <v>457</v>
      </c>
      <c r="H361" t="s">
        <v>458</v>
      </c>
      <c r="I361" t="s">
        <v>9</v>
      </c>
    </row>
    <row r="362" spans="1:9" x14ac:dyDescent="0.2">
      <c r="A362" t="s">
        <v>6</v>
      </c>
      <c r="B362">
        <v>2094</v>
      </c>
      <c r="C362">
        <v>1031791</v>
      </c>
      <c r="D362">
        <v>29</v>
      </c>
      <c r="E362">
        <v>2094</v>
      </c>
      <c r="G362" t="s">
        <v>471</v>
      </c>
      <c r="H362" t="s">
        <v>472</v>
      </c>
      <c r="I362" t="s">
        <v>9</v>
      </c>
    </row>
    <row r="363" spans="1:9" x14ac:dyDescent="0.2">
      <c r="A363" t="s">
        <v>6</v>
      </c>
      <c r="B363">
        <v>6413</v>
      </c>
      <c r="C363">
        <v>1867713</v>
      </c>
      <c r="D363">
        <v>24</v>
      </c>
      <c r="E363">
        <v>6413</v>
      </c>
      <c r="G363" t="s">
        <v>467</v>
      </c>
      <c r="H363" t="s">
        <v>472</v>
      </c>
      <c r="I363" t="s">
        <v>9</v>
      </c>
    </row>
    <row r="364" spans="1:9" x14ac:dyDescent="0.2">
      <c r="A364" t="s">
        <v>6</v>
      </c>
      <c r="B364">
        <v>570</v>
      </c>
      <c r="C364">
        <v>523136</v>
      </c>
      <c r="D364">
        <v>63</v>
      </c>
      <c r="E364">
        <v>570</v>
      </c>
      <c r="G364" t="s">
        <v>461</v>
      </c>
      <c r="H364" t="s">
        <v>460</v>
      </c>
      <c r="I364" t="s">
        <v>9</v>
      </c>
    </row>
    <row r="365" spans="1:9" x14ac:dyDescent="0.2">
      <c r="A365" t="s">
        <v>6</v>
      </c>
      <c r="B365">
        <v>154</v>
      </c>
      <c r="C365">
        <v>108216</v>
      </c>
      <c r="D365">
        <v>35</v>
      </c>
      <c r="E365">
        <v>154</v>
      </c>
      <c r="G365" t="s">
        <v>462</v>
      </c>
      <c r="H365" t="s">
        <v>476</v>
      </c>
      <c r="I365" t="s">
        <v>9</v>
      </c>
    </row>
    <row r="366" spans="1:9" x14ac:dyDescent="0.2">
      <c r="A366" t="s">
        <v>6</v>
      </c>
      <c r="B366">
        <v>8323</v>
      </c>
      <c r="C366">
        <v>3610747</v>
      </c>
      <c r="D366">
        <v>84</v>
      </c>
      <c r="E366">
        <v>8323</v>
      </c>
      <c r="G366" t="s">
        <v>459</v>
      </c>
      <c r="H366" t="s">
        <v>460</v>
      </c>
      <c r="I366" t="s">
        <v>9</v>
      </c>
    </row>
    <row r="367" spans="1:9" x14ac:dyDescent="0.2">
      <c r="A367" t="s">
        <v>6</v>
      </c>
      <c r="B367">
        <v>284</v>
      </c>
      <c r="C367">
        <v>135025</v>
      </c>
      <c r="D367">
        <v>226</v>
      </c>
      <c r="E367">
        <v>284</v>
      </c>
      <c r="G367" t="s">
        <v>464</v>
      </c>
      <c r="H367" t="s">
        <v>465</v>
      </c>
      <c r="I367" t="s">
        <v>9</v>
      </c>
    </row>
    <row r="368" spans="1:9" x14ac:dyDescent="0.2">
      <c r="A368" t="s">
        <v>6</v>
      </c>
      <c r="B368">
        <v>496</v>
      </c>
      <c r="C368">
        <v>176811</v>
      </c>
      <c r="D368">
        <v>29</v>
      </c>
      <c r="E368">
        <v>496</v>
      </c>
      <c r="G368" t="s">
        <v>471</v>
      </c>
      <c r="H368" t="s">
        <v>472</v>
      </c>
      <c r="I368" t="s">
        <v>9</v>
      </c>
    </row>
    <row r="369" spans="1:9" x14ac:dyDescent="0.2">
      <c r="A369" t="s">
        <v>6</v>
      </c>
      <c r="B369">
        <v>10213</v>
      </c>
      <c r="C369">
        <v>4880359</v>
      </c>
      <c r="D369">
        <v>8</v>
      </c>
      <c r="E369">
        <v>10213</v>
      </c>
      <c r="G369" t="s">
        <v>474</v>
      </c>
      <c r="H369" t="s">
        <v>475</v>
      </c>
      <c r="I369" t="s">
        <v>9</v>
      </c>
    </row>
    <row r="370" spans="1:9" x14ac:dyDescent="0.2">
      <c r="A370" t="s">
        <v>6</v>
      </c>
      <c r="B370">
        <v>130</v>
      </c>
      <c r="C370">
        <v>59052</v>
      </c>
      <c r="D370">
        <v>226</v>
      </c>
      <c r="E370">
        <v>130</v>
      </c>
      <c r="G370" t="s">
        <v>464</v>
      </c>
      <c r="H370" t="s">
        <v>465</v>
      </c>
      <c r="I370" t="s">
        <v>9</v>
      </c>
    </row>
    <row r="371" spans="1:9" x14ac:dyDescent="0.2">
      <c r="A371" t="s">
        <v>6</v>
      </c>
      <c r="B371">
        <v>6167</v>
      </c>
      <c r="C371">
        <v>645960</v>
      </c>
      <c r="D371">
        <v>63</v>
      </c>
      <c r="E371">
        <v>6167</v>
      </c>
      <c r="G371" t="s">
        <v>461</v>
      </c>
      <c r="H371" t="s">
        <v>460</v>
      </c>
      <c r="I371" t="s">
        <v>9</v>
      </c>
    </row>
    <row r="372" spans="1:9" x14ac:dyDescent="0.2">
      <c r="A372" t="s">
        <v>6</v>
      </c>
      <c r="B372">
        <v>332</v>
      </c>
      <c r="C372">
        <v>163150</v>
      </c>
      <c r="D372">
        <v>226</v>
      </c>
      <c r="E372">
        <v>332</v>
      </c>
      <c r="G372" t="s">
        <v>464</v>
      </c>
      <c r="H372" t="s">
        <v>465</v>
      </c>
      <c r="I372" t="s">
        <v>9</v>
      </c>
    </row>
    <row r="373" spans="1:9" x14ac:dyDescent="0.2">
      <c r="A373" t="s">
        <v>6</v>
      </c>
      <c r="B373">
        <v>10881</v>
      </c>
      <c r="C373">
        <v>5286887</v>
      </c>
      <c r="D373">
        <v>8</v>
      </c>
      <c r="E373">
        <v>10881</v>
      </c>
      <c r="G373" t="s">
        <v>474</v>
      </c>
      <c r="H373" t="s">
        <v>475</v>
      </c>
      <c r="I373" t="s">
        <v>9</v>
      </c>
    </row>
    <row r="374" spans="1:9" x14ac:dyDescent="0.2">
      <c r="A374" t="s">
        <v>6</v>
      </c>
      <c r="B374">
        <v>4</v>
      </c>
      <c r="C374">
        <v>1063</v>
      </c>
      <c r="D374">
        <v>10</v>
      </c>
      <c r="E374">
        <v>4</v>
      </c>
      <c r="G374" t="s">
        <v>457</v>
      </c>
      <c r="H374" t="s">
        <v>458</v>
      </c>
      <c r="I374" t="s">
        <v>9</v>
      </c>
    </row>
    <row r="375" spans="1:9" x14ac:dyDescent="0.2">
      <c r="A375" t="s">
        <v>6</v>
      </c>
      <c r="B375">
        <v>6139</v>
      </c>
      <c r="C375">
        <v>644117</v>
      </c>
      <c r="D375">
        <v>84</v>
      </c>
      <c r="E375">
        <v>6139</v>
      </c>
      <c r="G375" t="s">
        <v>459</v>
      </c>
      <c r="H375" t="s">
        <v>460</v>
      </c>
      <c r="I375" t="s">
        <v>9</v>
      </c>
    </row>
    <row r="376" spans="1:9" x14ac:dyDescent="0.2">
      <c r="A376" t="s">
        <v>6</v>
      </c>
      <c r="B376">
        <v>36</v>
      </c>
      <c r="C376">
        <v>28668</v>
      </c>
      <c r="D376">
        <v>7</v>
      </c>
      <c r="E376">
        <v>36</v>
      </c>
      <c r="G376" t="s">
        <v>499</v>
      </c>
      <c r="H376" t="s">
        <v>491</v>
      </c>
      <c r="I376" t="s">
        <v>9</v>
      </c>
    </row>
    <row r="377" spans="1:9" x14ac:dyDescent="0.2">
      <c r="A377" t="s">
        <v>6</v>
      </c>
      <c r="B377">
        <v>878</v>
      </c>
      <c r="C377">
        <v>460787</v>
      </c>
      <c r="D377">
        <v>40</v>
      </c>
      <c r="E377">
        <v>878</v>
      </c>
      <c r="G377" t="s">
        <v>479</v>
      </c>
      <c r="H377" t="s">
        <v>480</v>
      </c>
      <c r="I377" t="s">
        <v>9</v>
      </c>
    </row>
    <row r="378" spans="1:9" x14ac:dyDescent="0.2">
      <c r="A378" t="s">
        <v>6</v>
      </c>
      <c r="B378">
        <v>33</v>
      </c>
      <c r="C378">
        <v>8771</v>
      </c>
      <c r="D378">
        <v>10</v>
      </c>
      <c r="E378">
        <v>33</v>
      </c>
      <c r="G378" t="s">
        <v>457</v>
      </c>
      <c r="H378" t="s">
        <v>458</v>
      </c>
      <c r="I378" t="s">
        <v>9</v>
      </c>
    </row>
    <row r="379" spans="1:9" x14ac:dyDescent="0.2">
      <c r="A379" t="s">
        <v>6</v>
      </c>
      <c r="B379">
        <v>159</v>
      </c>
      <c r="C379">
        <v>167528</v>
      </c>
      <c r="D379">
        <v>8</v>
      </c>
      <c r="E379">
        <v>159</v>
      </c>
      <c r="G379" t="s">
        <v>459</v>
      </c>
      <c r="H379" t="s">
        <v>498</v>
      </c>
      <c r="I379" t="s">
        <v>9</v>
      </c>
    </row>
    <row r="380" spans="1:9" x14ac:dyDescent="0.2">
      <c r="A380" t="s">
        <v>6</v>
      </c>
      <c r="B380">
        <v>7625</v>
      </c>
      <c r="C380">
        <v>5721506</v>
      </c>
      <c r="D380">
        <v>63</v>
      </c>
      <c r="E380">
        <v>7625</v>
      </c>
      <c r="G380" t="s">
        <v>461</v>
      </c>
      <c r="H380" t="s">
        <v>460</v>
      </c>
      <c r="I380" t="s">
        <v>9</v>
      </c>
    </row>
    <row r="381" spans="1:9" x14ac:dyDescent="0.2">
      <c r="A381" t="s">
        <v>6</v>
      </c>
      <c r="B381">
        <v>17</v>
      </c>
      <c r="C381">
        <v>4441</v>
      </c>
      <c r="D381">
        <v>10</v>
      </c>
      <c r="E381">
        <v>17</v>
      </c>
      <c r="G381" t="s">
        <v>457</v>
      </c>
      <c r="H381" t="s">
        <v>458</v>
      </c>
      <c r="I381" t="s">
        <v>9</v>
      </c>
    </row>
    <row r="382" spans="1:9" x14ac:dyDescent="0.2">
      <c r="A382" t="s">
        <v>6</v>
      </c>
      <c r="B382">
        <v>2696</v>
      </c>
      <c r="C382">
        <v>1194439</v>
      </c>
      <c r="D382">
        <v>63</v>
      </c>
      <c r="E382">
        <v>2696</v>
      </c>
      <c r="G382" t="s">
        <v>461</v>
      </c>
      <c r="H382" t="s">
        <v>460</v>
      </c>
      <c r="I382" t="s">
        <v>9</v>
      </c>
    </row>
    <row r="383" spans="1:9" x14ac:dyDescent="0.2">
      <c r="A383" t="s">
        <v>6</v>
      </c>
      <c r="B383">
        <v>521</v>
      </c>
      <c r="C383">
        <v>67367</v>
      </c>
      <c r="D383">
        <v>27</v>
      </c>
      <c r="E383">
        <v>521</v>
      </c>
      <c r="G383" t="s">
        <v>467</v>
      </c>
      <c r="H383" t="s">
        <v>458</v>
      </c>
      <c r="I383" t="s">
        <v>9</v>
      </c>
    </row>
    <row r="384" spans="1:9" x14ac:dyDescent="0.2">
      <c r="A384" t="s">
        <v>6</v>
      </c>
      <c r="B384">
        <v>63</v>
      </c>
      <c r="C384">
        <v>23214</v>
      </c>
      <c r="D384">
        <v>111</v>
      </c>
      <c r="E384">
        <v>63</v>
      </c>
      <c r="G384" t="s">
        <v>491</v>
      </c>
      <c r="H384" t="s">
        <v>465</v>
      </c>
      <c r="I384" t="s">
        <v>9</v>
      </c>
    </row>
    <row r="385" spans="1:9" x14ac:dyDescent="0.2">
      <c r="A385" t="s">
        <v>6</v>
      </c>
      <c r="B385">
        <v>3475</v>
      </c>
      <c r="C385">
        <v>359037</v>
      </c>
      <c r="D385">
        <v>84</v>
      </c>
      <c r="E385">
        <v>3475</v>
      </c>
      <c r="G385" t="s">
        <v>459</v>
      </c>
      <c r="H385" t="s">
        <v>460</v>
      </c>
      <c r="I385" t="s">
        <v>9</v>
      </c>
    </row>
    <row r="386" spans="1:9" x14ac:dyDescent="0.2">
      <c r="A386" t="s">
        <v>6</v>
      </c>
      <c r="B386">
        <v>6201</v>
      </c>
      <c r="C386">
        <v>649778</v>
      </c>
      <c r="D386">
        <v>63</v>
      </c>
      <c r="E386">
        <v>6201</v>
      </c>
      <c r="G386" t="s">
        <v>461</v>
      </c>
      <c r="H386" t="s">
        <v>460</v>
      </c>
      <c r="I386" t="s">
        <v>9</v>
      </c>
    </row>
    <row r="387" spans="1:9" x14ac:dyDescent="0.2">
      <c r="A387" t="s">
        <v>6</v>
      </c>
      <c r="B387">
        <v>147</v>
      </c>
      <c r="C387">
        <v>87829</v>
      </c>
      <c r="D387">
        <v>12</v>
      </c>
      <c r="E387">
        <v>147</v>
      </c>
      <c r="G387" t="s">
        <v>462</v>
      </c>
      <c r="H387" t="s">
        <v>463</v>
      </c>
      <c r="I387" t="s">
        <v>9</v>
      </c>
    </row>
    <row r="388" spans="1:9" x14ac:dyDescent="0.2">
      <c r="A388" t="s">
        <v>6</v>
      </c>
      <c r="B388">
        <v>665</v>
      </c>
      <c r="C388">
        <v>288447</v>
      </c>
      <c r="D388">
        <v>84</v>
      </c>
      <c r="E388">
        <v>665</v>
      </c>
      <c r="G388" t="s">
        <v>459</v>
      </c>
      <c r="H388" t="s">
        <v>460</v>
      </c>
      <c r="I388" t="s">
        <v>9</v>
      </c>
    </row>
    <row r="389" spans="1:9" x14ac:dyDescent="0.2">
      <c r="A389" t="s">
        <v>6</v>
      </c>
      <c r="B389">
        <v>382</v>
      </c>
      <c r="C389">
        <v>42215</v>
      </c>
      <c r="D389">
        <v>27</v>
      </c>
      <c r="E389">
        <v>382</v>
      </c>
      <c r="G389" t="s">
        <v>467</v>
      </c>
      <c r="H389" t="s">
        <v>458</v>
      </c>
      <c r="I389" t="s">
        <v>9</v>
      </c>
    </row>
    <row r="390" spans="1:9" x14ac:dyDescent="0.2">
      <c r="A390" t="s">
        <v>6</v>
      </c>
      <c r="B390">
        <v>102</v>
      </c>
      <c r="C390">
        <v>47792</v>
      </c>
      <c r="D390">
        <v>12</v>
      </c>
      <c r="E390">
        <v>102</v>
      </c>
      <c r="G390" t="s">
        <v>462</v>
      </c>
      <c r="H390" t="s">
        <v>463</v>
      </c>
      <c r="I390" t="s">
        <v>9</v>
      </c>
    </row>
    <row r="391" spans="1:9" x14ac:dyDescent="0.2">
      <c r="A391" t="s">
        <v>6</v>
      </c>
      <c r="B391">
        <v>280</v>
      </c>
      <c r="C391">
        <v>28413</v>
      </c>
      <c r="D391">
        <v>4</v>
      </c>
      <c r="E391">
        <v>280</v>
      </c>
      <c r="G391" t="s">
        <v>468</v>
      </c>
      <c r="H391" t="s">
        <v>469</v>
      </c>
      <c r="I391" t="s">
        <v>9</v>
      </c>
    </row>
    <row r="392" spans="1:9" x14ac:dyDescent="0.2">
      <c r="A392" t="s">
        <v>6</v>
      </c>
      <c r="B392">
        <v>946</v>
      </c>
      <c r="C392">
        <v>114803</v>
      </c>
      <c r="D392">
        <v>27</v>
      </c>
      <c r="E392">
        <v>946</v>
      </c>
      <c r="G392" t="s">
        <v>467</v>
      </c>
      <c r="H392" t="s">
        <v>458</v>
      </c>
      <c r="I392" t="s">
        <v>9</v>
      </c>
    </row>
    <row r="393" spans="1:9" x14ac:dyDescent="0.2">
      <c r="A393" t="s">
        <v>6</v>
      </c>
      <c r="B393">
        <v>67</v>
      </c>
      <c r="C393">
        <v>21492</v>
      </c>
      <c r="D393">
        <v>111</v>
      </c>
      <c r="E393">
        <v>67</v>
      </c>
      <c r="G393" t="s">
        <v>491</v>
      </c>
      <c r="H393" t="s">
        <v>465</v>
      </c>
      <c r="I393" t="s">
        <v>9</v>
      </c>
    </row>
    <row r="394" spans="1:9" x14ac:dyDescent="0.2">
      <c r="A394" t="s">
        <v>6</v>
      </c>
      <c r="B394">
        <v>240</v>
      </c>
      <c r="C394">
        <v>89390</v>
      </c>
      <c r="D394">
        <v>81</v>
      </c>
      <c r="E394">
        <v>240</v>
      </c>
      <c r="G394" t="s">
        <v>478</v>
      </c>
      <c r="H394" t="s">
        <v>474</v>
      </c>
      <c r="I394" t="s">
        <v>9</v>
      </c>
    </row>
    <row r="395" spans="1:9" x14ac:dyDescent="0.2">
      <c r="A395" t="s">
        <v>6</v>
      </c>
      <c r="B395">
        <v>9112</v>
      </c>
      <c r="C395">
        <v>954977</v>
      </c>
      <c r="D395">
        <v>63</v>
      </c>
      <c r="E395">
        <v>9112</v>
      </c>
      <c r="G395" t="s">
        <v>461</v>
      </c>
      <c r="H395" t="s">
        <v>460</v>
      </c>
      <c r="I395" t="s">
        <v>9</v>
      </c>
    </row>
    <row r="396" spans="1:9" x14ac:dyDescent="0.2">
      <c r="A396" t="s">
        <v>6</v>
      </c>
      <c r="B396">
        <v>55</v>
      </c>
      <c r="C396">
        <v>6351</v>
      </c>
      <c r="D396">
        <v>27</v>
      </c>
      <c r="E396">
        <v>55</v>
      </c>
      <c r="G396" t="s">
        <v>467</v>
      </c>
      <c r="H396" t="s">
        <v>458</v>
      </c>
      <c r="I396" t="s">
        <v>9</v>
      </c>
    </row>
    <row r="397" spans="1:9" x14ac:dyDescent="0.2">
      <c r="A397" t="s">
        <v>6</v>
      </c>
      <c r="B397">
        <v>205</v>
      </c>
      <c r="C397">
        <v>104187</v>
      </c>
      <c r="D397">
        <v>40</v>
      </c>
      <c r="E397">
        <v>205</v>
      </c>
      <c r="G397" t="s">
        <v>479</v>
      </c>
      <c r="H397" t="s">
        <v>480</v>
      </c>
      <c r="I397" t="s">
        <v>9</v>
      </c>
    </row>
    <row r="398" spans="1:9" x14ac:dyDescent="0.2">
      <c r="A398" t="s">
        <v>6</v>
      </c>
      <c r="B398">
        <v>155</v>
      </c>
      <c r="C398">
        <v>166982</v>
      </c>
      <c r="D398">
        <v>24</v>
      </c>
      <c r="E398">
        <v>155</v>
      </c>
      <c r="G398" t="s">
        <v>513</v>
      </c>
      <c r="H398" t="s">
        <v>514</v>
      </c>
      <c r="I398" t="s">
        <v>9</v>
      </c>
    </row>
    <row r="399" spans="1:9" x14ac:dyDescent="0.2">
      <c r="A399" t="s">
        <v>6</v>
      </c>
      <c r="B399">
        <v>832</v>
      </c>
      <c r="C399">
        <v>502401</v>
      </c>
      <c r="D399">
        <v>29</v>
      </c>
      <c r="E399">
        <v>832</v>
      </c>
      <c r="G399" t="s">
        <v>471</v>
      </c>
      <c r="H399" t="s">
        <v>472</v>
      </c>
      <c r="I399" t="s">
        <v>9</v>
      </c>
    </row>
    <row r="400" spans="1:9" x14ac:dyDescent="0.2">
      <c r="A400" t="s">
        <v>6</v>
      </c>
      <c r="B400">
        <v>200</v>
      </c>
      <c r="C400">
        <v>80743</v>
      </c>
      <c r="D400">
        <v>26</v>
      </c>
      <c r="E400">
        <v>200</v>
      </c>
      <c r="G400" t="s">
        <v>498</v>
      </c>
      <c r="H400" t="s">
        <v>469</v>
      </c>
      <c r="I400" t="s">
        <v>9</v>
      </c>
    </row>
    <row r="401" spans="1:9" x14ac:dyDescent="0.2">
      <c r="A401" t="s">
        <v>6</v>
      </c>
      <c r="B401">
        <v>484</v>
      </c>
      <c r="C401">
        <v>237386</v>
      </c>
      <c r="D401">
        <v>-2</v>
      </c>
      <c r="E401">
        <v>484</v>
      </c>
      <c r="G401" t="s">
        <v>479</v>
      </c>
      <c r="H401" t="s">
        <v>470</v>
      </c>
      <c r="I401" t="s">
        <v>9</v>
      </c>
    </row>
    <row r="402" spans="1:9" x14ac:dyDescent="0.2">
      <c r="A402" t="s">
        <v>6</v>
      </c>
      <c r="B402">
        <v>511</v>
      </c>
      <c r="C402">
        <v>197166</v>
      </c>
      <c r="D402">
        <v>40</v>
      </c>
      <c r="E402">
        <v>511</v>
      </c>
      <c r="G402" t="s">
        <v>479</v>
      </c>
      <c r="H402" t="s">
        <v>480</v>
      </c>
      <c r="I402" t="s">
        <v>9</v>
      </c>
    </row>
    <row r="403" spans="1:9" x14ac:dyDescent="0.2">
      <c r="A403" t="s">
        <v>6</v>
      </c>
      <c r="B403">
        <v>6117</v>
      </c>
      <c r="C403">
        <v>638352</v>
      </c>
      <c r="D403">
        <v>63</v>
      </c>
      <c r="E403">
        <v>6117</v>
      </c>
      <c r="G403" t="s">
        <v>461</v>
      </c>
      <c r="H403" t="s">
        <v>460</v>
      </c>
      <c r="I403" t="s">
        <v>9</v>
      </c>
    </row>
    <row r="404" spans="1:9" x14ac:dyDescent="0.2">
      <c r="A404" t="s">
        <v>6</v>
      </c>
      <c r="B404">
        <v>4457</v>
      </c>
      <c r="C404">
        <v>1423472</v>
      </c>
      <c r="D404">
        <v>24</v>
      </c>
      <c r="E404">
        <v>4457</v>
      </c>
      <c r="G404" t="s">
        <v>467</v>
      </c>
      <c r="H404" t="s">
        <v>472</v>
      </c>
      <c r="I404" t="s">
        <v>9</v>
      </c>
    </row>
    <row r="405" spans="1:9" x14ac:dyDescent="0.2">
      <c r="A405" t="s">
        <v>6</v>
      </c>
      <c r="B405">
        <v>1844</v>
      </c>
      <c r="C405">
        <v>1102311</v>
      </c>
      <c r="D405">
        <v>26</v>
      </c>
      <c r="E405">
        <v>1844</v>
      </c>
      <c r="G405" t="s">
        <v>482</v>
      </c>
      <c r="H405" t="s">
        <v>471</v>
      </c>
      <c r="I405" t="s">
        <v>9</v>
      </c>
    </row>
    <row r="406" spans="1:9" x14ac:dyDescent="0.2">
      <c r="A406" t="s">
        <v>6</v>
      </c>
      <c r="B406">
        <v>12935</v>
      </c>
      <c r="C406">
        <v>6034926</v>
      </c>
      <c r="D406">
        <v>8</v>
      </c>
      <c r="E406">
        <v>12935</v>
      </c>
      <c r="G406" t="s">
        <v>474</v>
      </c>
      <c r="H406" t="s">
        <v>475</v>
      </c>
      <c r="I406" t="s">
        <v>9</v>
      </c>
    </row>
    <row r="407" spans="1:9" x14ac:dyDescent="0.2">
      <c r="A407" t="s">
        <v>6</v>
      </c>
      <c r="B407">
        <v>2688</v>
      </c>
      <c r="C407">
        <v>2175718</v>
      </c>
      <c r="D407">
        <v>26</v>
      </c>
      <c r="E407">
        <v>2688</v>
      </c>
      <c r="G407" t="s">
        <v>482</v>
      </c>
      <c r="H407" t="s">
        <v>471</v>
      </c>
      <c r="I407" t="s">
        <v>9</v>
      </c>
    </row>
    <row r="408" spans="1:9" x14ac:dyDescent="0.2">
      <c r="A408" t="s">
        <v>6</v>
      </c>
      <c r="B408">
        <v>65</v>
      </c>
      <c r="C408">
        <v>5798</v>
      </c>
      <c r="D408">
        <v>105</v>
      </c>
      <c r="E408">
        <v>65</v>
      </c>
      <c r="G408" t="s">
        <v>495</v>
      </c>
      <c r="H408" t="s">
        <v>496</v>
      </c>
      <c r="I408" t="s">
        <v>9</v>
      </c>
    </row>
    <row r="409" spans="1:9" x14ac:dyDescent="0.2">
      <c r="A409" t="s">
        <v>6</v>
      </c>
      <c r="B409">
        <v>934</v>
      </c>
      <c r="C409">
        <v>681004</v>
      </c>
      <c r="D409">
        <v>26</v>
      </c>
      <c r="E409">
        <v>934</v>
      </c>
      <c r="G409" t="s">
        <v>482</v>
      </c>
      <c r="H409" t="s">
        <v>471</v>
      </c>
      <c r="I409" t="s">
        <v>9</v>
      </c>
    </row>
    <row r="410" spans="1:9" x14ac:dyDescent="0.2">
      <c r="A410" t="s">
        <v>6</v>
      </c>
      <c r="B410">
        <v>2054</v>
      </c>
      <c r="C410">
        <v>724236</v>
      </c>
      <c r="D410">
        <v>29</v>
      </c>
      <c r="E410">
        <v>2054</v>
      </c>
      <c r="G410" t="s">
        <v>471</v>
      </c>
      <c r="H410" t="s">
        <v>472</v>
      </c>
      <c r="I410" t="s">
        <v>9</v>
      </c>
    </row>
    <row r="411" spans="1:9" x14ac:dyDescent="0.2">
      <c r="A411" t="s">
        <v>6</v>
      </c>
      <c r="B411">
        <v>2113</v>
      </c>
      <c r="C411">
        <v>220766</v>
      </c>
      <c r="D411">
        <v>29</v>
      </c>
      <c r="E411">
        <v>2113</v>
      </c>
      <c r="G411" t="s">
        <v>471</v>
      </c>
      <c r="H411" t="s">
        <v>472</v>
      </c>
      <c r="I411" t="s">
        <v>9</v>
      </c>
    </row>
    <row r="412" spans="1:9" x14ac:dyDescent="0.2">
      <c r="A412" t="s">
        <v>6</v>
      </c>
      <c r="B412">
        <v>36</v>
      </c>
      <c r="C412">
        <v>21400</v>
      </c>
      <c r="D412">
        <v>226</v>
      </c>
      <c r="E412">
        <v>36</v>
      </c>
      <c r="G412" t="s">
        <v>464</v>
      </c>
      <c r="H412" t="s">
        <v>465</v>
      </c>
      <c r="I412" t="s">
        <v>9</v>
      </c>
    </row>
    <row r="413" spans="1:9" x14ac:dyDescent="0.2">
      <c r="A413" t="s">
        <v>6</v>
      </c>
      <c r="B413">
        <v>4662</v>
      </c>
      <c r="C413">
        <v>486542</v>
      </c>
      <c r="D413">
        <v>10</v>
      </c>
      <c r="E413">
        <v>4662</v>
      </c>
      <c r="G413" t="s">
        <v>492</v>
      </c>
      <c r="H413" t="s">
        <v>493</v>
      </c>
      <c r="I413" t="s">
        <v>9</v>
      </c>
    </row>
    <row r="414" spans="1:9" x14ac:dyDescent="0.2">
      <c r="A414" t="s">
        <v>6</v>
      </c>
      <c r="B414">
        <v>68</v>
      </c>
      <c r="C414">
        <v>30289</v>
      </c>
      <c r="D414">
        <v>16</v>
      </c>
      <c r="E414">
        <v>68</v>
      </c>
      <c r="G414" t="s">
        <v>480</v>
      </c>
      <c r="H414" t="s">
        <v>485</v>
      </c>
      <c r="I414" t="s">
        <v>9</v>
      </c>
    </row>
    <row r="415" spans="1:9" x14ac:dyDescent="0.2">
      <c r="A415" t="s">
        <v>6</v>
      </c>
      <c r="B415">
        <v>9220</v>
      </c>
      <c r="C415">
        <v>4414401</v>
      </c>
      <c r="D415">
        <v>8</v>
      </c>
      <c r="E415">
        <v>9220</v>
      </c>
      <c r="G415" t="s">
        <v>474</v>
      </c>
      <c r="H415" t="s">
        <v>475</v>
      </c>
      <c r="I415" t="s">
        <v>9</v>
      </c>
    </row>
    <row r="416" spans="1:9" x14ac:dyDescent="0.2">
      <c r="A416" t="s">
        <v>6</v>
      </c>
      <c r="B416">
        <v>441</v>
      </c>
      <c r="C416">
        <v>248354</v>
      </c>
      <c r="D416">
        <v>32</v>
      </c>
      <c r="E416">
        <v>441</v>
      </c>
      <c r="G416" t="s">
        <v>479</v>
      </c>
      <c r="H416" t="s">
        <v>463</v>
      </c>
      <c r="I416" t="s">
        <v>9</v>
      </c>
    </row>
    <row r="417" spans="1:9" x14ac:dyDescent="0.2">
      <c r="A417" t="s">
        <v>6</v>
      </c>
      <c r="B417">
        <v>3757</v>
      </c>
      <c r="C417">
        <v>1195732</v>
      </c>
      <c r="D417">
        <v>31</v>
      </c>
      <c r="E417">
        <v>3757</v>
      </c>
      <c r="G417" t="s">
        <v>470</v>
      </c>
      <c r="H417" t="s">
        <v>471</v>
      </c>
      <c r="I417" t="s">
        <v>9</v>
      </c>
    </row>
    <row r="418" spans="1:9" x14ac:dyDescent="0.2">
      <c r="A418" t="s">
        <v>6</v>
      </c>
      <c r="B418">
        <v>287</v>
      </c>
      <c r="C418">
        <v>143332</v>
      </c>
      <c r="D418">
        <v>26</v>
      </c>
      <c r="E418">
        <v>287</v>
      </c>
      <c r="G418" t="s">
        <v>463</v>
      </c>
      <c r="H418" t="s">
        <v>472</v>
      </c>
      <c r="I418" t="s">
        <v>9</v>
      </c>
    </row>
    <row r="419" spans="1:9" x14ac:dyDescent="0.2">
      <c r="A419" t="s">
        <v>6</v>
      </c>
      <c r="B419">
        <v>29</v>
      </c>
      <c r="C419">
        <v>10542</v>
      </c>
      <c r="D419">
        <v>111</v>
      </c>
      <c r="E419">
        <v>29</v>
      </c>
      <c r="G419" t="s">
        <v>491</v>
      </c>
      <c r="H419" t="s">
        <v>465</v>
      </c>
      <c r="I419" t="s">
        <v>9</v>
      </c>
    </row>
    <row r="420" spans="1:9" x14ac:dyDescent="0.2">
      <c r="A420" t="s">
        <v>6</v>
      </c>
      <c r="B420">
        <v>928</v>
      </c>
      <c r="C420">
        <v>463124</v>
      </c>
      <c r="D420">
        <v>12</v>
      </c>
      <c r="E420">
        <v>928</v>
      </c>
      <c r="G420" t="s">
        <v>473</v>
      </c>
      <c r="H420" t="s">
        <v>471</v>
      </c>
      <c r="I420" t="s">
        <v>9</v>
      </c>
    </row>
    <row r="421" spans="1:9" x14ac:dyDescent="0.2">
      <c r="A421" t="s">
        <v>6</v>
      </c>
      <c r="B421">
        <v>3990</v>
      </c>
      <c r="C421">
        <v>555995</v>
      </c>
      <c r="D421">
        <v>23</v>
      </c>
      <c r="E421">
        <v>3990</v>
      </c>
      <c r="G421" t="s">
        <v>481</v>
      </c>
      <c r="H421" t="s">
        <v>500</v>
      </c>
      <c r="I421" t="s">
        <v>9</v>
      </c>
    </row>
    <row r="422" spans="1:9" x14ac:dyDescent="0.2">
      <c r="A422" t="s">
        <v>6</v>
      </c>
      <c r="B422">
        <v>104</v>
      </c>
      <c r="C422">
        <v>48546</v>
      </c>
      <c r="D422">
        <v>12</v>
      </c>
      <c r="E422">
        <v>104</v>
      </c>
      <c r="G422" t="s">
        <v>462</v>
      </c>
      <c r="H422" t="s">
        <v>463</v>
      </c>
      <c r="I422" t="s">
        <v>9</v>
      </c>
    </row>
    <row r="423" spans="1:9" x14ac:dyDescent="0.2">
      <c r="A423" t="s">
        <v>6</v>
      </c>
      <c r="B423">
        <v>3</v>
      </c>
      <c r="C423">
        <v>2061</v>
      </c>
      <c r="D423">
        <v>1</v>
      </c>
      <c r="E423">
        <v>3</v>
      </c>
      <c r="G423" t="s">
        <v>477</v>
      </c>
      <c r="H423" t="s">
        <v>487</v>
      </c>
      <c r="I423" t="s">
        <v>9</v>
      </c>
    </row>
    <row r="424" spans="1:9" x14ac:dyDescent="0.2">
      <c r="A424" t="s">
        <v>6</v>
      </c>
      <c r="B424">
        <v>4750</v>
      </c>
      <c r="C424">
        <v>495749</v>
      </c>
      <c r="D424">
        <v>10</v>
      </c>
      <c r="E424">
        <v>4750</v>
      </c>
      <c r="G424" t="s">
        <v>492</v>
      </c>
      <c r="H424" t="s">
        <v>493</v>
      </c>
      <c r="I424" t="s">
        <v>9</v>
      </c>
    </row>
    <row r="425" spans="1:9" x14ac:dyDescent="0.2">
      <c r="A425" t="s">
        <v>6</v>
      </c>
      <c r="B425">
        <v>41593</v>
      </c>
      <c r="C425">
        <v>4253082</v>
      </c>
      <c r="D425">
        <v>21</v>
      </c>
      <c r="E425">
        <v>41593</v>
      </c>
      <c r="G425" t="s">
        <v>459</v>
      </c>
      <c r="H425" t="s">
        <v>461</v>
      </c>
      <c r="I425" t="s">
        <v>9</v>
      </c>
    </row>
    <row r="426" spans="1:9" x14ac:dyDescent="0.2">
      <c r="A426" t="s">
        <v>6</v>
      </c>
      <c r="B426">
        <v>198</v>
      </c>
      <c r="C426">
        <v>83409</v>
      </c>
      <c r="D426">
        <v>17</v>
      </c>
      <c r="E426">
        <v>198</v>
      </c>
      <c r="G426" t="s">
        <v>503</v>
      </c>
      <c r="H426" t="s">
        <v>474</v>
      </c>
      <c r="I426" t="s">
        <v>9</v>
      </c>
    </row>
    <row r="427" spans="1:9" x14ac:dyDescent="0.2">
      <c r="A427" t="s">
        <v>6</v>
      </c>
      <c r="B427">
        <v>159</v>
      </c>
      <c r="C427">
        <v>73151</v>
      </c>
      <c r="D427">
        <v>32</v>
      </c>
      <c r="E427">
        <v>159</v>
      </c>
      <c r="G427" t="s">
        <v>481</v>
      </c>
      <c r="H427" t="s">
        <v>484</v>
      </c>
      <c r="I427" t="s">
        <v>9</v>
      </c>
    </row>
    <row r="428" spans="1:9" x14ac:dyDescent="0.2">
      <c r="A428" t="s">
        <v>6</v>
      </c>
      <c r="B428">
        <v>935</v>
      </c>
      <c r="C428">
        <v>97854</v>
      </c>
      <c r="D428">
        <v>12</v>
      </c>
      <c r="E428">
        <v>935</v>
      </c>
      <c r="G428" t="s">
        <v>473</v>
      </c>
      <c r="H428" t="s">
        <v>471</v>
      </c>
      <c r="I428" t="s">
        <v>9</v>
      </c>
    </row>
    <row r="429" spans="1:9" x14ac:dyDescent="0.2">
      <c r="A429" t="s">
        <v>6</v>
      </c>
      <c r="B429">
        <v>54</v>
      </c>
      <c r="C429">
        <v>49631</v>
      </c>
      <c r="D429">
        <v>31</v>
      </c>
      <c r="E429">
        <v>54</v>
      </c>
      <c r="G429" t="s">
        <v>470</v>
      </c>
      <c r="H429" t="s">
        <v>471</v>
      </c>
      <c r="I429" t="s">
        <v>9</v>
      </c>
    </row>
    <row r="430" spans="1:9" x14ac:dyDescent="0.2">
      <c r="A430" t="s">
        <v>6</v>
      </c>
      <c r="B430">
        <v>41</v>
      </c>
      <c r="C430">
        <v>10789</v>
      </c>
      <c r="D430">
        <v>12</v>
      </c>
      <c r="E430">
        <v>41</v>
      </c>
      <c r="G430" t="s">
        <v>466</v>
      </c>
      <c r="H430" t="s">
        <v>458</v>
      </c>
      <c r="I430" t="s">
        <v>9</v>
      </c>
    </row>
    <row r="431" spans="1:9" x14ac:dyDescent="0.2">
      <c r="A431" t="s">
        <v>6</v>
      </c>
      <c r="B431">
        <v>365</v>
      </c>
      <c r="C431">
        <v>193664</v>
      </c>
      <c r="D431">
        <v>28</v>
      </c>
      <c r="E431">
        <v>365</v>
      </c>
      <c r="G431" t="s">
        <v>501</v>
      </c>
      <c r="H431" t="s">
        <v>471</v>
      </c>
      <c r="I431" t="s">
        <v>9</v>
      </c>
    </row>
    <row r="432" spans="1:9" x14ac:dyDescent="0.2">
      <c r="A432" t="s">
        <v>6</v>
      </c>
      <c r="B432">
        <v>17624</v>
      </c>
      <c r="C432">
        <v>1828172</v>
      </c>
      <c r="D432">
        <v>8</v>
      </c>
      <c r="E432">
        <v>17624</v>
      </c>
      <c r="G432" t="s">
        <v>474</v>
      </c>
      <c r="H432" t="s">
        <v>475</v>
      </c>
      <c r="I432" t="s">
        <v>9</v>
      </c>
    </row>
    <row r="433" spans="1:9" x14ac:dyDescent="0.2">
      <c r="A433" t="s">
        <v>6</v>
      </c>
      <c r="B433">
        <v>7223</v>
      </c>
      <c r="C433">
        <v>757469</v>
      </c>
      <c r="D433">
        <v>6</v>
      </c>
      <c r="E433">
        <v>7223</v>
      </c>
      <c r="G433" t="s">
        <v>462</v>
      </c>
      <c r="H433" t="s">
        <v>461</v>
      </c>
      <c r="I433" t="s">
        <v>9</v>
      </c>
    </row>
    <row r="434" spans="1:9" x14ac:dyDescent="0.2">
      <c r="A434" t="s">
        <v>6</v>
      </c>
      <c r="B434">
        <v>23</v>
      </c>
      <c r="C434">
        <v>11041</v>
      </c>
      <c r="D434">
        <v>16</v>
      </c>
      <c r="E434">
        <v>23</v>
      </c>
      <c r="G434" t="s">
        <v>480</v>
      </c>
      <c r="H434" t="s">
        <v>485</v>
      </c>
      <c r="I434" t="s">
        <v>9</v>
      </c>
    </row>
    <row r="435" spans="1:9" x14ac:dyDescent="0.2">
      <c r="A435" t="s">
        <v>6</v>
      </c>
      <c r="B435">
        <v>215</v>
      </c>
      <c r="C435">
        <v>93418</v>
      </c>
      <c r="D435">
        <v>17</v>
      </c>
      <c r="E435">
        <v>215</v>
      </c>
      <c r="G435" t="s">
        <v>503</v>
      </c>
      <c r="H435" t="s">
        <v>474</v>
      </c>
      <c r="I435" t="s">
        <v>9</v>
      </c>
    </row>
    <row r="436" spans="1:9" x14ac:dyDescent="0.2">
      <c r="A436" t="s">
        <v>6</v>
      </c>
      <c r="B436">
        <v>187</v>
      </c>
      <c r="C436">
        <v>131624</v>
      </c>
      <c r="D436">
        <v>35</v>
      </c>
      <c r="E436">
        <v>187</v>
      </c>
      <c r="G436" t="s">
        <v>462</v>
      </c>
      <c r="H436" t="s">
        <v>476</v>
      </c>
      <c r="I436" t="s">
        <v>9</v>
      </c>
    </row>
    <row r="437" spans="1:9" x14ac:dyDescent="0.2">
      <c r="A437" t="s">
        <v>6</v>
      </c>
      <c r="B437">
        <v>146</v>
      </c>
      <c r="C437">
        <v>81457</v>
      </c>
      <c r="D437">
        <v>12</v>
      </c>
      <c r="E437">
        <v>146</v>
      </c>
      <c r="G437" t="s">
        <v>462</v>
      </c>
      <c r="H437" t="s">
        <v>463</v>
      </c>
      <c r="I437" t="s">
        <v>9</v>
      </c>
    </row>
    <row r="438" spans="1:9" x14ac:dyDescent="0.2">
      <c r="A438" t="s">
        <v>6</v>
      </c>
      <c r="B438">
        <v>126</v>
      </c>
      <c r="C438">
        <v>59622</v>
      </c>
      <c r="D438">
        <v>226</v>
      </c>
      <c r="E438">
        <v>126</v>
      </c>
      <c r="G438" t="s">
        <v>464</v>
      </c>
      <c r="H438" t="s">
        <v>465</v>
      </c>
      <c r="I438" t="s">
        <v>9</v>
      </c>
    </row>
    <row r="439" spans="1:9" x14ac:dyDescent="0.2">
      <c r="A439" t="s">
        <v>6</v>
      </c>
      <c r="B439">
        <v>16248</v>
      </c>
      <c r="C439">
        <v>1687301</v>
      </c>
      <c r="D439">
        <v>8</v>
      </c>
      <c r="E439">
        <v>16248</v>
      </c>
      <c r="G439" t="s">
        <v>474</v>
      </c>
      <c r="H439" t="s">
        <v>475</v>
      </c>
      <c r="I439" t="s">
        <v>9</v>
      </c>
    </row>
    <row r="440" spans="1:9" x14ac:dyDescent="0.2">
      <c r="A440" t="s">
        <v>6</v>
      </c>
      <c r="B440">
        <v>300</v>
      </c>
      <c r="C440">
        <v>259406</v>
      </c>
      <c r="D440">
        <v>3</v>
      </c>
      <c r="E440">
        <v>300</v>
      </c>
      <c r="G440" t="s">
        <v>466</v>
      </c>
      <c r="H440" t="s">
        <v>517</v>
      </c>
      <c r="I440" t="s">
        <v>9</v>
      </c>
    </row>
    <row r="441" spans="1:9" x14ac:dyDescent="0.2">
      <c r="A441" t="s">
        <v>6</v>
      </c>
      <c r="B441">
        <v>0</v>
      </c>
      <c r="C441">
        <v>247</v>
      </c>
      <c r="D441">
        <v>10</v>
      </c>
      <c r="E441">
        <v>0</v>
      </c>
      <c r="G441" t="s">
        <v>457</v>
      </c>
      <c r="H441" t="s">
        <v>458</v>
      </c>
      <c r="I441" t="s">
        <v>9</v>
      </c>
    </row>
    <row r="442" spans="1:9" x14ac:dyDescent="0.2">
      <c r="A442" t="s">
        <v>6</v>
      </c>
      <c r="B442">
        <v>288</v>
      </c>
      <c r="C442">
        <v>144065</v>
      </c>
      <c r="D442">
        <v>26</v>
      </c>
      <c r="E442">
        <v>288</v>
      </c>
      <c r="G442" t="s">
        <v>463</v>
      </c>
      <c r="H442" t="s">
        <v>472</v>
      </c>
      <c r="I442" t="s">
        <v>9</v>
      </c>
    </row>
    <row r="443" spans="1:9" x14ac:dyDescent="0.2">
      <c r="A443" t="s">
        <v>6</v>
      </c>
      <c r="B443">
        <v>158</v>
      </c>
      <c r="C443">
        <v>86275</v>
      </c>
      <c r="D443">
        <v>40</v>
      </c>
      <c r="E443">
        <v>158</v>
      </c>
      <c r="G443" t="s">
        <v>479</v>
      </c>
      <c r="H443" t="s">
        <v>480</v>
      </c>
      <c r="I443" t="s">
        <v>9</v>
      </c>
    </row>
    <row r="444" spans="1:9" x14ac:dyDescent="0.2">
      <c r="A444" t="s">
        <v>6</v>
      </c>
      <c r="B444">
        <v>931</v>
      </c>
      <c r="C444">
        <v>97524</v>
      </c>
      <c r="D444">
        <v>12</v>
      </c>
      <c r="E444">
        <v>931</v>
      </c>
      <c r="G444" t="s">
        <v>473</v>
      </c>
      <c r="H444" t="s">
        <v>471</v>
      </c>
      <c r="I444" t="s">
        <v>9</v>
      </c>
    </row>
    <row r="445" spans="1:9" x14ac:dyDescent="0.2">
      <c r="A445" t="s">
        <v>6</v>
      </c>
      <c r="B445">
        <v>124</v>
      </c>
      <c r="C445">
        <v>64825</v>
      </c>
      <c r="D445">
        <v>12</v>
      </c>
      <c r="E445">
        <v>124</v>
      </c>
      <c r="G445" t="s">
        <v>462</v>
      </c>
      <c r="H445" t="s">
        <v>463</v>
      </c>
      <c r="I445" t="s">
        <v>9</v>
      </c>
    </row>
    <row r="446" spans="1:9" x14ac:dyDescent="0.2">
      <c r="A446" t="s">
        <v>6</v>
      </c>
      <c r="B446">
        <v>75</v>
      </c>
      <c r="C446">
        <v>17413</v>
      </c>
      <c r="D446">
        <v>7</v>
      </c>
      <c r="E446">
        <v>75</v>
      </c>
      <c r="G446" t="s">
        <v>463</v>
      </c>
      <c r="H446" t="s">
        <v>469</v>
      </c>
      <c r="I446" t="s">
        <v>9</v>
      </c>
    </row>
    <row r="447" spans="1:9" x14ac:dyDescent="0.2">
      <c r="A447" t="s">
        <v>6</v>
      </c>
      <c r="B447">
        <v>6</v>
      </c>
      <c r="C447">
        <v>1597</v>
      </c>
      <c r="D447">
        <v>10</v>
      </c>
      <c r="E447">
        <v>6</v>
      </c>
      <c r="G447" t="s">
        <v>457</v>
      </c>
      <c r="H447" t="s">
        <v>458</v>
      </c>
      <c r="I447" t="s">
        <v>9</v>
      </c>
    </row>
    <row r="448" spans="1:9" x14ac:dyDescent="0.2">
      <c r="A448" t="s">
        <v>6</v>
      </c>
      <c r="B448">
        <v>1000</v>
      </c>
      <c r="C448">
        <v>282995</v>
      </c>
      <c r="D448">
        <v>13</v>
      </c>
      <c r="E448">
        <v>1000</v>
      </c>
      <c r="G448" t="s">
        <v>482</v>
      </c>
      <c r="H448" t="s">
        <v>511</v>
      </c>
      <c r="I448" t="s">
        <v>9</v>
      </c>
    </row>
    <row r="449" spans="1:9" x14ac:dyDescent="0.2">
      <c r="A449" t="s">
        <v>6</v>
      </c>
      <c r="B449">
        <v>6000</v>
      </c>
      <c r="C449">
        <v>5902786</v>
      </c>
      <c r="D449">
        <v>6</v>
      </c>
      <c r="E449">
        <v>6000</v>
      </c>
      <c r="G449" t="s">
        <v>469</v>
      </c>
      <c r="H449" t="s">
        <v>495</v>
      </c>
      <c r="I449" t="s">
        <v>9</v>
      </c>
    </row>
    <row r="450" spans="1:9" x14ac:dyDescent="0.2">
      <c r="A450" t="s">
        <v>39</v>
      </c>
      <c r="B450">
        <v>1647</v>
      </c>
      <c r="C450">
        <v>608480</v>
      </c>
      <c r="D450">
        <v>28</v>
      </c>
      <c r="E450">
        <v>1647</v>
      </c>
      <c r="G450" t="s">
        <v>490</v>
      </c>
      <c r="H450" t="s">
        <v>491</v>
      </c>
      <c r="I450" t="s">
        <v>9</v>
      </c>
    </row>
    <row r="451" spans="1:9" x14ac:dyDescent="0.2">
      <c r="A451" t="s">
        <v>6</v>
      </c>
      <c r="B451">
        <v>77</v>
      </c>
      <c r="C451">
        <v>18117</v>
      </c>
      <c r="D451">
        <v>5</v>
      </c>
      <c r="E451">
        <v>77</v>
      </c>
      <c r="G451" t="s">
        <v>497</v>
      </c>
      <c r="H451" t="s">
        <v>506</v>
      </c>
      <c r="I451" t="s">
        <v>9</v>
      </c>
    </row>
    <row r="452" spans="1:9" x14ac:dyDescent="0.2">
      <c r="A452" t="s">
        <v>6</v>
      </c>
      <c r="B452">
        <v>363</v>
      </c>
      <c r="C452">
        <v>149367</v>
      </c>
      <c r="D452">
        <v>29</v>
      </c>
      <c r="E452">
        <v>363</v>
      </c>
      <c r="G452" t="s">
        <v>471</v>
      </c>
      <c r="H452" t="s">
        <v>472</v>
      </c>
      <c r="I452" t="s">
        <v>9</v>
      </c>
    </row>
    <row r="453" spans="1:9" x14ac:dyDescent="0.2">
      <c r="A453" t="s">
        <v>6</v>
      </c>
      <c r="B453">
        <v>203</v>
      </c>
      <c r="C453">
        <v>146917</v>
      </c>
      <c r="D453">
        <v>-2</v>
      </c>
      <c r="E453">
        <v>203</v>
      </c>
      <c r="G453" t="s">
        <v>479</v>
      </c>
      <c r="H453" t="s">
        <v>470</v>
      </c>
      <c r="I453" t="s">
        <v>9</v>
      </c>
    </row>
    <row r="454" spans="1:9" x14ac:dyDescent="0.2">
      <c r="A454" t="s">
        <v>6</v>
      </c>
      <c r="B454">
        <v>287</v>
      </c>
      <c r="C454">
        <v>205064</v>
      </c>
      <c r="D454">
        <v>29</v>
      </c>
      <c r="E454">
        <v>287</v>
      </c>
      <c r="G454" t="s">
        <v>471</v>
      </c>
      <c r="H454" t="s">
        <v>472</v>
      </c>
      <c r="I454" t="s">
        <v>9</v>
      </c>
    </row>
    <row r="455" spans="1:9" x14ac:dyDescent="0.2">
      <c r="A455" t="s">
        <v>6</v>
      </c>
      <c r="B455">
        <v>23</v>
      </c>
      <c r="C455">
        <v>6093</v>
      </c>
      <c r="D455">
        <v>-1</v>
      </c>
      <c r="E455">
        <v>23</v>
      </c>
      <c r="G455" t="s">
        <v>510</v>
      </c>
      <c r="H455" t="s">
        <v>471</v>
      </c>
      <c r="I455" t="s">
        <v>9</v>
      </c>
    </row>
    <row r="456" spans="1:9" x14ac:dyDescent="0.2">
      <c r="A456" t="s">
        <v>6</v>
      </c>
      <c r="B456">
        <v>326</v>
      </c>
      <c r="C456">
        <v>191347</v>
      </c>
      <c r="D456">
        <v>31</v>
      </c>
      <c r="E456">
        <v>326</v>
      </c>
      <c r="G456" t="s">
        <v>470</v>
      </c>
      <c r="H456" t="s">
        <v>471</v>
      </c>
      <c r="I456" t="s">
        <v>9</v>
      </c>
    </row>
    <row r="457" spans="1:9" x14ac:dyDescent="0.2">
      <c r="A457" t="s">
        <v>6</v>
      </c>
      <c r="B457">
        <v>489</v>
      </c>
      <c r="C457">
        <v>58515</v>
      </c>
      <c r="D457">
        <v>27</v>
      </c>
      <c r="E457">
        <v>489</v>
      </c>
      <c r="G457" t="s">
        <v>467</v>
      </c>
      <c r="H457" t="s">
        <v>458</v>
      </c>
      <c r="I457" t="s">
        <v>9</v>
      </c>
    </row>
    <row r="458" spans="1:9" x14ac:dyDescent="0.2">
      <c r="A458" t="s">
        <v>6</v>
      </c>
      <c r="B458">
        <v>10602</v>
      </c>
      <c r="C458">
        <v>5866385</v>
      </c>
      <c r="D458">
        <v>26</v>
      </c>
      <c r="E458">
        <v>10602</v>
      </c>
      <c r="G458" t="s">
        <v>482</v>
      </c>
      <c r="H458" t="s">
        <v>471</v>
      </c>
      <c r="I458" t="s">
        <v>9</v>
      </c>
    </row>
    <row r="459" spans="1:9" x14ac:dyDescent="0.2">
      <c r="A459" t="s">
        <v>6</v>
      </c>
      <c r="B459">
        <v>503</v>
      </c>
      <c r="C459">
        <v>280257</v>
      </c>
      <c r="D459">
        <v>32</v>
      </c>
      <c r="E459">
        <v>503</v>
      </c>
      <c r="G459" t="s">
        <v>479</v>
      </c>
      <c r="H459" t="s">
        <v>463</v>
      </c>
      <c r="I459" t="s">
        <v>9</v>
      </c>
    </row>
    <row r="460" spans="1:9" x14ac:dyDescent="0.2">
      <c r="A460" t="s">
        <v>6</v>
      </c>
      <c r="B460">
        <v>8270</v>
      </c>
      <c r="C460">
        <v>5331834</v>
      </c>
      <c r="D460">
        <v>63</v>
      </c>
      <c r="E460">
        <v>8270</v>
      </c>
      <c r="G460" t="s">
        <v>461</v>
      </c>
      <c r="H460" t="s">
        <v>460</v>
      </c>
      <c r="I460" t="s">
        <v>9</v>
      </c>
    </row>
    <row r="461" spans="1:9" x14ac:dyDescent="0.2">
      <c r="A461" t="s">
        <v>6</v>
      </c>
      <c r="B461">
        <v>219</v>
      </c>
      <c r="C461">
        <v>148175</v>
      </c>
      <c r="D461">
        <v>14</v>
      </c>
      <c r="E461">
        <v>219</v>
      </c>
      <c r="G461" t="s">
        <v>499</v>
      </c>
      <c r="H461" t="s">
        <v>495</v>
      </c>
      <c r="I461" t="s">
        <v>9</v>
      </c>
    </row>
    <row r="462" spans="1:9" x14ac:dyDescent="0.2">
      <c r="A462" t="s">
        <v>6</v>
      </c>
      <c r="B462">
        <v>2428</v>
      </c>
      <c r="C462">
        <v>1363768</v>
      </c>
      <c r="D462">
        <v>29</v>
      </c>
      <c r="E462">
        <v>2428</v>
      </c>
      <c r="G462" t="s">
        <v>471</v>
      </c>
      <c r="H462" t="s">
        <v>472</v>
      </c>
      <c r="I462" t="s">
        <v>9</v>
      </c>
    </row>
    <row r="463" spans="1:9" x14ac:dyDescent="0.2">
      <c r="A463" t="s">
        <v>6</v>
      </c>
      <c r="B463">
        <v>0</v>
      </c>
      <c r="C463">
        <v>68</v>
      </c>
      <c r="D463">
        <v>3</v>
      </c>
      <c r="E463">
        <v>0</v>
      </c>
      <c r="G463" t="s">
        <v>468</v>
      </c>
      <c r="H463" t="s">
        <v>491</v>
      </c>
      <c r="I463" t="s">
        <v>9</v>
      </c>
    </row>
    <row r="464" spans="1:9" x14ac:dyDescent="0.2">
      <c r="A464" t="s">
        <v>6</v>
      </c>
      <c r="B464">
        <v>2518</v>
      </c>
      <c r="C464">
        <v>1089827</v>
      </c>
      <c r="D464">
        <v>84</v>
      </c>
      <c r="E464">
        <v>2518</v>
      </c>
      <c r="G464" t="s">
        <v>459</v>
      </c>
      <c r="H464" t="s">
        <v>460</v>
      </c>
      <c r="I464" t="s">
        <v>9</v>
      </c>
    </row>
    <row r="465" spans="1:9" x14ac:dyDescent="0.2">
      <c r="A465" t="s">
        <v>6</v>
      </c>
      <c r="B465">
        <v>1590</v>
      </c>
      <c r="C465">
        <v>776720</v>
      </c>
      <c r="D465">
        <v>32</v>
      </c>
      <c r="E465">
        <v>1590</v>
      </c>
      <c r="G465" t="s">
        <v>479</v>
      </c>
      <c r="H465" t="s">
        <v>463</v>
      </c>
      <c r="I465" t="s">
        <v>9</v>
      </c>
    </row>
    <row r="466" spans="1:9" x14ac:dyDescent="0.2">
      <c r="A466" t="s">
        <v>6</v>
      </c>
      <c r="B466">
        <v>6226</v>
      </c>
      <c r="C466">
        <v>652678</v>
      </c>
      <c r="D466">
        <v>63</v>
      </c>
      <c r="E466">
        <v>6226</v>
      </c>
      <c r="G466" t="s">
        <v>461</v>
      </c>
      <c r="H466" t="s">
        <v>460</v>
      </c>
      <c r="I466" t="s">
        <v>9</v>
      </c>
    </row>
    <row r="467" spans="1:9" x14ac:dyDescent="0.2">
      <c r="A467" t="s">
        <v>6</v>
      </c>
      <c r="B467">
        <v>146</v>
      </c>
      <c r="C467">
        <v>15768</v>
      </c>
      <c r="D467">
        <v>27</v>
      </c>
      <c r="E467">
        <v>146</v>
      </c>
      <c r="G467" t="s">
        <v>467</v>
      </c>
      <c r="H467" t="s">
        <v>458</v>
      </c>
      <c r="I467" t="s">
        <v>9</v>
      </c>
    </row>
    <row r="468" spans="1:9" x14ac:dyDescent="0.2">
      <c r="A468" t="s">
        <v>6</v>
      </c>
      <c r="B468">
        <v>1814</v>
      </c>
      <c r="C468">
        <v>1423438</v>
      </c>
      <c r="D468">
        <v>26</v>
      </c>
      <c r="E468">
        <v>1814</v>
      </c>
      <c r="G468" t="s">
        <v>482</v>
      </c>
      <c r="H468" t="s">
        <v>471</v>
      </c>
      <c r="I468" t="s">
        <v>9</v>
      </c>
    </row>
    <row r="469" spans="1:9" x14ac:dyDescent="0.2">
      <c r="A469" t="s">
        <v>6</v>
      </c>
      <c r="B469">
        <v>2</v>
      </c>
      <c r="C469">
        <v>645</v>
      </c>
      <c r="D469">
        <v>10</v>
      </c>
      <c r="E469">
        <v>2</v>
      </c>
      <c r="G469" t="s">
        <v>457</v>
      </c>
      <c r="H469" t="s">
        <v>458</v>
      </c>
      <c r="I469" t="s">
        <v>9</v>
      </c>
    </row>
    <row r="470" spans="1:9" x14ac:dyDescent="0.2">
      <c r="A470" t="s">
        <v>6</v>
      </c>
      <c r="B470">
        <v>3305</v>
      </c>
      <c r="C470">
        <v>1623372</v>
      </c>
      <c r="D470">
        <v>10</v>
      </c>
      <c r="E470">
        <v>3305</v>
      </c>
      <c r="G470" t="s">
        <v>492</v>
      </c>
      <c r="H470" t="s">
        <v>493</v>
      </c>
      <c r="I470" t="s">
        <v>9</v>
      </c>
    </row>
    <row r="471" spans="1:9" x14ac:dyDescent="0.2">
      <c r="A471" t="s">
        <v>6</v>
      </c>
      <c r="B471">
        <v>4</v>
      </c>
      <c r="C471">
        <v>445</v>
      </c>
      <c r="D471">
        <v>4</v>
      </c>
      <c r="E471">
        <v>4</v>
      </c>
      <c r="G471" t="s">
        <v>468</v>
      </c>
      <c r="H471" t="s">
        <v>469</v>
      </c>
      <c r="I471" t="s">
        <v>9</v>
      </c>
    </row>
    <row r="472" spans="1:9" x14ac:dyDescent="0.2">
      <c r="A472" t="s">
        <v>6</v>
      </c>
      <c r="B472">
        <v>267</v>
      </c>
      <c r="C472">
        <v>187808</v>
      </c>
      <c r="D472">
        <v>-2</v>
      </c>
      <c r="E472">
        <v>267</v>
      </c>
      <c r="G472" t="s">
        <v>479</v>
      </c>
      <c r="H472" t="s">
        <v>470</v>
      </c>
      <c r="I472" t="s">
        <v>9</v>
      </c>
    </row>
    <row r="473" spans="1:9" x14ac:dyDescent="0.2">
      <c r="A473" t="s">
        <v>6</v>
      </c>
      <c r="B473">
        <v>1659</v>
      </c>
      <c r="C473">
        <v>771645</v>
      </c>
      <c r="D473">
        <v>32</v>
      </c>
      <c r="E473">
        <v>1659</v>
      </c>
      <c r="G473" t="s">
        <v>479</v>
      </c>
      <c r="H473" t="s">
        <v>463</v>
      </c>
      <c r="I473" t="s">
        <v>9</v>
      </c>
    </row>
    <row r="474" spans="1:9" x14ac:dyDescent="0.2">
      <c r="A474" t="s">
        <v>6</v>
      </c>
      <c r="B474">
        <v>48458</v>
      </c>
      <c r="C474">
        <v>41497994</v>
      </c>
      <c r="D474">
        <v>63</v>
      </c>
      <c r="E474">
        <v>48458</v>
      </c>
      <c r="G474" t="s">
        <v>461</v>
      </c>
      <c r="H474" t="s">
        <v>460</v>
      </c>
      <c r="I474" t="s">
        <v>9</v>
      </c>
    </row>
    <row r="475" spans="1:9" x14ac:dyDescent="0.2">
      <c r="A475" t="s">
        <v>6</v>
      </c>
      <c r="B475">
        <v>33</v>
      </c>
      <c r="C475">
        <v>15528</v>
      </c>
      <c r="D475">
        <v>40</v>
      </c>
      <c r="E475">
        <v>33</v>
      </c>
      <c r="G475" t="s">
        <v>479</v>
      </c>
      <c r="H475" t="s">
        <v>480</v>
      </c>
      <c r="I475" t="s">
        <v>9</v>
      </c>
    </row>
    <row r="476" spans="1:9" x14ac:dyDescent="0.2">
      <c r="A476" t="s">
        <v>6</v>
      </c>
      <c r="B476">
        <v>109</v>
      </c>
      <c r="C476">
        <v>54706</v>
      </c>
      <c r="D476">
        <v>26</v>
      </c>
      <c r="E476">
        <v>109</v>
      </c>
      <c r="G476" t="s">
        <v>463</v>
      </c>
      <c r="H476" t="s">
        <v>472</v>
      </c>
      <c r="I476" t="s">
        <v>9</v>
      </c>
    </row>
    <row r="477" spans="1:9" x14ac:dyDescent="0.2">
      <c r="A477" t="s">
        <v>6</v>
      </c>
      <c r="B477">
        <v>508</v>
      </c>
      <c r="C477">
        <v>61692</v>
      </c>
      <c r="D477">
        <v>27</v>
      </c>
      <c r="E477">
        <v>508</v>
      </c>
      <c r="G477" t="s">
        <v>467</v>
      </c>
      <c r="H477" t="s">
        <v>458</v>
      </c>
      <c r="I477" t="s">
        <v>9</v>
      </c>
    </row>
    <row r="478" spans="1:9" x14ac:dyDescent="0.2">
      <c r="A478" t="s">
        <v>6</v>
      </c>
      <c r="B478">
        <v>79</v>
      </c>
      <c r="C478">
        <v>44534</v>
      </c>
      <c r="D478">
        <v>226</v>
      </c>
      <c r="E478">
        <v>79</v>
      </c>
      <c r="G478" t="s">
        <v>464</v>
      </c>
      <c r="H478" t="s">
        <v>465</v>
      </c>
      <c r="I478" t="s">
        <v>9</v>
      </c>
    </row>
    <row r="479" spans="1:9" x14ac:dyDescent="0.2">
      <c r="A479" t="s">
        <v>6</v>
      </c>
      <c r="B479">
        <v>88</v>
      </c>
      <c r="C479">
        <v>54874</v>
      </c>
      <c r="D479">
        <v>7</v>
      </c>
      <c r="E479">
        <v>88</v>
      </c>
      <c r="G479" t="s">
        <v>462</v>
      </c>
      <c r="H479" t="s">
        <v>477</v>
      </c>
      <c r="I479" t="s">
        <v>9</v>
      </c>
    </row>
    <row r="480" spans="1:9" x14ac:dyDescent="0.2">
      <c r="A480" t="s">
        <v>6</v>
      </c>
      <c r="B480">
        <v>48487</v>
      </c>
      <c r="C480">
        <v>19292554</v>
      </c>
      <c r="D480">
        <v>63</v>
      </c>
      <c r="E480">
        <v>48487</v>
      </c>
      <c r="G480" t="s">
        <v>461</v>
      </c>
      <c r="H480" t="s">
        <v>460</v>
      </c>
      <c r="I480" t="s">
        <v>9</v>
      </c>
    </row>
    <row r="481" spans="1:9" x14ac:dyDescent="0.2">
      <c r="A481" t="s">
        <v>6</v>
      </c>
      <c r="B481">
        <v>11000</v>
      </c>
      <c r="C481">
        <v>2090493</v>
      </c>
      <c r="D481">
        <v>14</v>
      </c>
      <c r="E481">
        <v>11000</v>
      </c>
      <c r="G481" t="s">
        <v>503</v>
      </c>
      <c r="H481" t="s">
        <v>483</v>
      </c>
      <c r="I481" t="s">
        <v>9</v>
      </c>
    </row>
    <row r="482" spans="1:9" x14ac:dyDescent="0.2">
      <c r="A482" t="s">
        <v>6</v>
      </c>
      <c r="B482">
        <v>15</v>
      </c>
      <c r="C482">
        <v>16521</v>
      </c>
      <c r="D482">
        <v>7</v>
      </c>
      <c r="E482">
        <v>15</v>
      </c>
      <c r="G482" t="s">
        <v>511</v>
      </c>
      <c r="H482" t="s">
        <v>518</v>
      </c>
      <c r="I482" t="s">
        <v>9</v>
      </c>
    </row>
    <row r="483" spans="1:9" x14ac:dyDescent="0.2">
      <c r="A483" t="s">
        <v>6</v>
      </c>
      <c r="B483">
        <v>139</v>
      </c>
      <c r="C483">
        <v>63338</v>
      </c>
      <c r="D483">
        <v>32</v>
      </c>
      <c r="E483">
        <v>139</v>
      </c>
      <c r="G483" t="s">
        <v>479</v>
      </c>
      <c r="H483" t="s">
        <v>463</v>
      </c>
      <c r="I483" t="s">
        <v>9</v>
      </c>
    </row>
    <row r="484" spans="1:9" x14ac:dyDescent="0.2">
      <c r="A484" t="s">
        <v>6</v>
      </c>
      <c r="B484">
        <v>1</v>
      </c>
      <c r="C484">
        <v>284</v>
      </c>
      <c r="D484">
        <v>10</v>
      </c>
      <c r="E484">
        <v>1</v>
      </c>
      <c r="G484" t="s">
        <v>457</v>
      </c>
      <c r="H484" t="s">
        <v>458</v>
      </c>
      <c r="I484" t="s">
        <v>9</v>
      </c>
    </row>
    <row r="485" spans="1:9" x14ac:dyDescent="0.2">
      <c r="A485" t="s">
        <v>6</v>
      </c>
      <c r="B485">
        <v>242</v>
      </c>
      <c r="C485">
        <v>68020</v>
      </c>
      <c r="D485">
        <v>13</v>
      </c>
      <c r="E485">
        <v>242</v>
      </c>
      <c r="G485" t="s">
        <v>500</v>
      </c>
      <c r="H485" t="s">
        <v>458</v>
      </c>
      <c r="I485" t="s">
        <v>9</v>
      </c>
    </row>
    <row r="486" spans="1:9" x14ac:dyDescent="0.2">
      <c r="A486" t="s">
        <v>6</v>
      </c>
      <c r="B486">
        <v>609</v>
      </c>
      <c r="C486">
        <v>322429</v>
      </c>
      <c r="D486">
        <v>29</v>
      </c>
      <c r="E486">
        <v>609</v>
      </c>
      <c r="G486" t="s">
        <v>471</v>
      </c>
      <c r="H486" t="s">
        <v>472</v>
      </c>
      <c r="I486" t="s">
        <v>9</v>
      </c>
    </row>
    <row r="487" spans="1:9" x14ac:dyDescent="0.2">
      <c r="A487" t="s">
        <v>6</v>
      </c>
      <c r="B487">
        <v>241</v>
      </c>
      <c r="C487">
        <v>106995</v>
      </c>
      <c r="D487">
        <v>81</v>
      </c>
      <c r="E487">
        <v>241</v>
      </c>
      <c r="G487" t="s">
        <v>478</v>
      </c>
      <c r="H487" t="s">
        <v>474</v>
      </c>
      <c r="I487" t="s">
        <v>9</v>
      </c>
    </row>
    <row r="488" spans="1:9" x14ac:dyDescent="0.2">
      <c r="A488" t="s">
        <v>6</v>
      </c>
      <c r="B488">
        <v>24443</v>
      </c>
      <c r="C488">
        <v>2499263</v>
      </c>
      <c r="D488">
        <v>8</v>
      </c>
      <c r="E488">
        <v>24443</v>
      </c>
      <c r="G488" t="s">
        <v>474</v>
      </c>
      <c r="H488" t="s">
        <v>475</v>
      </c>
      <c r="I488" t="s">
        <v>9</v>
      </c>
    </row>
    <row r="489" spans="1:9" x14ac:dyDescent="0.2">
      <c r="A489" t="s">
        <v>6</v>
      </c>
      <c r="B489">
        <v>83</v>
      </c>
      <c r="C489">
        <v>51465</v>
      </c>
      <c r="D489">
        <v>7</v>
      </c>
      <c r="E489">
        <v>83</v>
      </c>
      <c r="G489" t="s">
        <v>462</v>
      </c>
      <c r="H489" t="s">
        <v>477</v>
      </c>
      <c r="I489" t="s">
        <v>9</v>
      </c>
    </row>
    <row r="490" spans="1:9" x14ac:dyDescent="0.2">
      <c r="A490" t="s">
        <v>6</v>
      </c>
      <c r="B490">
        <v>41594</v>
      </c>
      <c r="C490">
        <v>16740852</v>
      </c>
      <c r="D490">
        <v>21</v>
      </c>
      <c r="E490">
        <v>41594</v>
      </c>
      <c r="G490" t="s">
        <v>459</v>
      </c>
      <c r="H490" t="s">
        <v>461</v>
      </c>
      <c r="I490" t="s">
        <v>9</v>
      </c>
    </row>
    <row r="491" spans="1:9" x14ac:dyDescent="0.2">
      <c r="A491" t="s">
        <v>6</v>
      </c>
      <c r="B491">
        <v>9441</v>
      </c>
      <c r="C491">
        <v>990344</v>
      </c>
      <c r="D491">
        <v>84</v>
      </c>
      <c r="E491">
        <v>9441</v>
      </c>
      <c r="G491" t="s">
        <v>459</v>
      </c>
      <c r="H491" t="s">
        <v>460</v>
      </c>
      <c r="I491" t="s">
        <v>9</v>
      </c>
    </row>
    <row r="492" spans="1:9" x14ac:dyDescent="0.2">
      <c r="A492" t="s">
        <v>6</v>
      </c>
      <c r="B492">
        <v>503</v>
      </c>
      <c r="C492">
        <v>170584</v>
      </c>
      <c r="D492">
        <v>40</v>
      </c>
      <c r="E492">
        <v>503</v>
      </c>
      <c r="G492" t="s">
        <v>479</v>
      </c>
      <c r="H492" t="s">
        <v>480</v>
      </c>
      <c r="I492" t="s">
        <v>9</v>
      </c>
    </row>
    <row r="493" spans="1:9" x14ac:dyDescent="0.2">
      <c r="A493" t="s">
        <v>6</v>
      </c>
      <c r="B493">
        <v>481</v>
      </c>
      <c r="C493">
        <v>183518</v>
      </c>
      <c r="D493">
        <v>40</v>
      </c>
      <c r="E493">
        <v>481</v>
      </c>
      <c r="G493" t="s">
        <v>479</v>
      </c>
      <c r="H493" t="s">
        <v>480</v>
      </c>
      <c r="I493" t="s">
        <v>9</v>
      </c>
    </row>
    <row r="494" spans="1:9" x14ac:dyDescent="0.2">
      <c r="A494" t="s">
        <v>6</v>
      </c>
      <c r="B494">
        <v>464</v>
      </c>
      <c r="C494">
        <v>194987</v>
      </c>
      <c r="D494">
        <v>40</v>
      </c>
      <c r="E494">
        <v>464</v>
      </c>
      <c r="G494" t="s">
        <v>479</v>
      </c>
      <c r="H494" t="s">
        <v>480</v>
      </c>
      <c r="I494" t="s">
        <v>9</v>
      </c>
    </row>
    <row r="495" spans="1:9" x14ac:dyDescent="0.2">
      <c r="A495" t="s">
        <v>6</v>
      </c>
      <c r="B495">
        <v>4870</v>
      </c>
      <c r="C495">
        <v>1609764</v>
      </c>
      <c r="D495">
        <v>31</v>
      </c>
      <c r="E495">
        <v>4870</v>
      </c>
      <c r="G495" t="s">
        <v>470</v>
      </c>
      <c r="H495" t="s">
        <v>471</v>
      </c>
      <c r="I495" t="s">
        <v>9</v>
      </c>
    </row>
    <row r="496" spans="1:9" x14ac:dyDescent="0.2">
      <c r="A496" t="s">
        <v>6</v>
      </c>
      <c r="B496">
        <v>9575</v>
      </c>
      <c r="C496">
        <v>2920520</v>
      </c>
      <c r="D496">
        <v>6</v>
      </c>
      <c r="E496">
        <v>9575</v>
      </c>
      <c r="G496" t="s">
        <v>462</v>
      </c>
      <c r="H496" t="s">
        <v>461</v>
      </c>
      <c r="I496" t="s">
        <v>9</v>
      </c>
    </row>
    <row r="497" spans="1:9" x14ac:dyDescent="0.2">
      <c r="A497" t="s">
        <v>6</v>
      </c>
      <c r="B497">
        <v>3703</v>
      </c>
      <c r="C497">
        <v>3250412</v>
      </c>
      <c r="D497">
        <v>63</v>
      </c>
      <c r="E497">
        <v>3703</v>
      </c>
      <c r="G497" t="s">
        <v>461</v>
      </c>
      <c r="H497" t="s">
        <v>460</v>
      </c>
      <c r="I497" t="s">
        <v>9</v>
      </c>
    </row>
    <row r="498" spans="1:9" x14ac:dyDescent="0.2">
      <c r="A498" t="s">
        <v>6</v>
      </c>
      <c r="B498">
        <v>7255</v>
      </c>
      <c r="C498">
        <v>6082829</v>
      </c>
      <c r="D498">
        <v>63</v>
      </c>
      <c r="E498">
        <v>7255</v>
      </c>
      <c r="G498" t="s">
        <v>461</v>
      </c>
      <c r="H498" t="s">
        <v>460</v>
      </c>
      <c r="I498" t="s">
        <v>9</v>
      </c>
    </row>
    <row r="499" spans="1:9" x14ac:dyDescent="0.2">
      <c r="A499" t="s">
        <v>6</v>
      </c>
      <c r="B499">
        <v>50</v>
      </c>
      <c r="C499">
        <v>29885</v>
      </c>
      <c r="D499">
        <v>40</v>
      </c>
      <c r="E499">
        <v>50</v>
      </c>
      <c r="G499" t="s">
        <v>479</v>
      </c>
      <c r="H499" t="s">
        <v>480</v>
      </c>
      <c r="I499" t="s">
        <v>9</v>
      </c>
    </row>
    <row r="500" spans="1:9" x14ac:dyDescent="0.2">
      <c r="A500" t="s">
        <v>6</v>
      </c>
      <c r="B500">
        <v>580</v>
      </c>
      <c r="C500">
        <v>70587</v>
      </c>
      <c r="D500">
        <v>27</v>
      </c>
      <c r="E500">
        <v>580</v>
      </c>
      <c r="G500" t="s">
        <v>467</v>
      </c>
      <c r="H500" t="s">
        <v>458</v>
      </c>
      <c r="I500" t="s">
        <v>9</v>
      </c>
    </row>
    <row r="501" spans="1:9" x14ac:dyDescent="0.2">
      <c r="A501" t="s">
        <v>6</v>
      </c>
      <c r="B501">
        <v>795</v>
      </c>
      <c r="C501">
        <v>424676</v>
      </c>
      <c r="D501">
        <v>40</v>
      </c>
      <c r="E501">
        <v>795</v>
      </c>
      <c r="G501" t="s">
        <v>479</v>
      </c>
      <c r="H501" t="s">
        <v>480</v>
      </c>
      <c r="I501" t="s">
        <v>9</v>
      </c>
    </row>
    <row r="502" spans="1:9" x14ac:dyDescent="0.2">
      <c r="A502" t="s">
        <v>6</v>
      </c>
      <c r="B502">
        <v>322</v>
      </c>
      <c r="C502">
        <v>147414</v>
      </c>
      <c r="D502">
        <v>12</v>
      </c>
      <c r="E502">
        <v>322</v>
      </c>
      <c r="G502" t="s">
        <v>462</v>
      </c>
      <c r="H502" t="s">
        <v>463</v>
      </c>
      <c r="I502" t="s">
        <v>9</v>
      </c>
    </row>
    <row r="503" spans="1:9" x14ac:dyDescent="0.2">
      <c r="A503" t="s">
        <v>6</v>
      </c>
      <c r="B503">
        <v>138</v>
      </c>
      <c r="C503">
        <v>81675</v>
      </c>
      <c r="D503">
        <v>12</v>
      </c>
      <c r="E503">
        <v>138</v>
      </c>
      <c r="G503" t="s">
        <v>462</v>
      </c>
      <c r="H503" t="s">
        <v>463</v>
      </c>
      <c r="I503" t="s">
        <v>9</v>
      </c>
    </row>
    <row r="504" spans="1:9" x14ac:dyDescent="0.2">
      <c r="A504" t="s">
        <v>6</v>
      </c>
      <c r="B504">
        <v>44</v>
      </c>
      <c r="C504">
        <v>4749</v>
      </c>
      <c r="D504">
        <v>27</v>
      </c>
      <c r="E504">
        <v>44</v>
      </c>
      <c r="G504" t="s">
        <v>467</v>
      </c>
      <c r="H504" t="s">
        <v>458</v>
      </c>
      <c r="I504" t="s">
        <v>9</v>
      </c>
    </row>
    <row r="505" spans="1:9" x14ac:dyDescent="0.2">
      <c r="A505" t="s">
        <v>6</v>
      </c>
      <c r="B505">
        <v>97</v>
      </c>
      <c r="C505">
        <v>43551</v>
      </c>
      <c r="D505">
        <v>17</v>
      </c>
      <c r="E505">
        <v>97</v>
      </c>
      <c r="G505" t="s">
        <v>503</v>
      </c>
      <c r="H505" t="s">
        <v>474</v>
      </c>
      <c r="I505" t="s">
        <v>9</v>
      </c>
    </row>
    <row r="506" spans="1:9" x14ac:dyDescent="0.2">
      <c r="A506" t="s">
        <v>6</v>
      </c>
      <c r="B506">
        <v>4604</v>
      </c>
      <c r="C506">
        <v>480382</v>
      </c>
      <c r="D506">
        <v>10</v>
      </c>
      <c r="E506">
        <v>4604</v>
      </c>
      <c r="G506" t="s">
        <v>492</v>
      </c>
      <c r="H506" t="s">
        <v>493</v>
      </c>
      <c r="I506" t="s">
        <v>9</v>
      </c>
    </row>
    <row r="507" spans="1:9" x14ac:dyDescent="0.2">
      <c r="A507" t="s">
        <v>6</v>
      </c>
      <c r="B507">
        <v>11716</v>
      </c>
      <c r="C507">
        <v>1209373</v>
      </c>
      <c r="D507">
        <v>8</v>
      </c>
      <c r="E507">
        <v>11716</v>
      </c>
      <c r="G507" t="s">
        <v>474</v>
      </c>
      <c r="H507" t="s">
        <v>475</v>
      </c>
      <c r="I507" t="s">
        <v>9</v>
      </c>
    </row>
    <row r="508" spans="1:9" x14ac:dyDescent="0.2">
      <c r="A508" t="s">
        <v>6</v>
      </c>
      <c r="B508">
        <v>6</v>
      </c>
      <c r="C508">
        <v>643</v>
      </c>
      <c r="D508">
        <v>4</v>
      </c>
      <c r="E508">
        <v>6</v>
      </c>
      <c r="G508" t="s">
        <v>468</v>
      </c>
      <c r="H508" t="s">
        <v>469</v>
      </c>
      <c r="I508" t="s">
        <v>9</v>
      </c>
    </row>
    <row r="509" spans="1:9" x14ac:dyDescent="0.2">
      <c r="A509" t="s">
        <v>6</v>
      </c>
      <c r="B509">
        <v>149</v>
      </c>
      <c r="C509">
        <v>73321</v>
      </c>
      <c r="D509">
        <v>226</v>
      </c>
      <c r="E509">
        <v>149</v>
      </c>
      <c r="G509" t="s">
        <v>464</v>
      </c>
      <c r="H509" t="s">
        <v>465</v>
      </c>
      <c r="I509" t="s">
        <v>9</v>
      </c>
    </row>
    <row r="510" spans="1:9" x14ac:dyDescent="0.2">
      <c r="A510" t="s">
        <v>6</v>
      </c>
      <c r="B510">
        <v>505</v>
      </c>
      <c r="C510">
        <v>48935</v>
      </c>
      <c r="D510">
        <v>4</v>
      </c>
      <c r="E510">
        <v>505</v>
      </c>
      <c r="G510" t="s">
        <v>468</v>
      </c>
      <c r="H510" t="s">
        <v>469</v>
      </c>
      <c r="I510" t="s">
        <v>9</v>
      </c>
    </row>
    <row r="511" spans="1:9" x14ac:dyDescent="0.2">
      <c r="A511" t="s">
        <v>6</v>
      </c>
      <c r="B511">
        <v>5153</v>
      </c>
      <c r="C511">
        <v>538830</v>
      </c>
      <c r="D511">
        <v>10</v>
      </c>
      <c r="E511">
        <v>5153</v>
      </c>
      <c r="G511" t="s">
        <v>492</v>
      </c>
      <c r="H511" t="s">
        <v>493</v>
      </c>
      <c r="I511" t="s">
        <v>9</v>
      </c>
    </row>
    <row r="512" spans="1:9" x14ac:dyDescent="0.2">
      <c r="A512" t="s">
        <v>6</v>
      </c>
      <c r="B512">
        <v>55</v>
      </c>
      <c r="C512">
        <v>30186</v>
      </c>
      <c r="D512">
        <v>63</v>
      </c>
      <c r="E512">
        <v>55</v>
      </c>
      <c r="G512" t="s">
        <v>461</v>
      </c>
      <c r="H512" t="s">
        <v>460</v>
      </c>
      <c r="I512" t="s">
        <v>9</v>
      </c>
    </row>
    <row r="513" spans="1:9" x14ac:dyDescent="0.2">
      <c r="A513" t="s">
        <v>6</v>
      </c>
      <c r="B513">
        <v>64</v>
      </c>
      <c r="C513">
        <v>8183</v>
      </c>
      <c r="D513">
        <v>27</v>
      </c>
      <c r="E513">
        <v>64</v>
      </c>
      <c r="G513" t="s">
        <v>467</v>
      </c>
      <c r="H513" t="s">
        <v>458</v>
      </c>
      <c r="I513" t="s">
        <v>9</v>
      </c>
    </row>
    <row r="514" spans="1:9" x14ac:dyDescent="0.2">
      <c r="A514" t="s">
        <v>6</v>
      </c>
      <c r="B514">
        <v>14</v>
      </c>
      <c r="C514">
        <v>3808</v>
      </c>
      <c r="D514">
        <v>10</v>
      </c>
      <c r="E514">
        <v>14</v>
      </c>
      <c r="G514" t="s">
        <v>457</v>
      </c>
      <c r="H514" t="s">
        <v>458</v>
      </c>
      <c r="I514" t="s">
        <v>9</v>
      </c>
    </row>
    <row r="515" spans="1:9" x14ac:dyDescent="0.2">
      <c r="A515" t="s">
        <v>6</v>
      </c>
      <c r="B515">
        <v>1675</v>
      </c>
      <c r="C515">
        <v>102632</v>
      </c>
      <c r="D515">
        <v>149</v>
      </c>
      <c r="E515">
        <v>1675</v>
      </c>
      <c r="G515" t="s">
        <v>505</v>
      </c>
      <c r="H515" t="s">
        <v>474</v>
      </c>
      <c r="I515" t="s">
        <v>9</v>
      </c>
    </row>
    <row r="516" spans="1:9" x14ac:dyDescent="0.2">
      <c r="A516" t="s">
        <v>6</v>
      </c>
      <c r="B516">
        <v>292</v>
      </c>
      <c r="C516">
        <v>212849</v>
      </c>
      <c r="D516">
        <v>31</v>
      </c>
      <c r="E516">
        <v>292</v>
      </c>
      <c r="G516" t="s">
        <v>470</v>
      </c>
      <c r="H516" t="s">
        <v>471</v>
      </c>
      <c r="I516" t="s">
        <v>9</v>
      </c>
    </row>
    <row r="517" spans="1:9" x14ac:dyDescent="0.2">
      <c r="A517" t="s">
        <v>6</v>
      </c>
      <c r="B517">
        <v>129</v>
      </c>
      <c r="C517">
        <v>50827</v>
      </c>
      <c r="D517">
        <v>32</v>
      </c>
      <c r="E517">
        <v>129</v>
      </c>
      <c r="G517" t="s">
        <v>479</v>
      </c>
      <c r="H517" t="s">
        <v>463</v>
      </c>
      <c r="I517" t="s">
        <v>9</v>
      </c>
    </row>
    <row r="518" spans="1:9" x14ac:dyDescent="0.2">
      <c r="A518" t="s">
        <v>6</v>
      </c>
      <c r="B518">
        <v>42</v>
      </c>
      <c r="C518">
        <v>36442</v>
      </c>
      <c r="D518">
        <v>26</v>
      </c>
      <c r="E518">
        <v>42</v>
      </c>
      <c r="G518" t="s">
        <v>482</v>
      </c>
      <c r="H518" t="s">
        <v>471</v>
      </c>
      <c r="I518" t="s">
        <v>9</v>
      </c>
    </row>
    <row r="519" spans="1:9" x14ac:dyDescent="0.2">
      <c r="A519" t="s">
        <v>6</v>
      </c>
      <c r="B519">
        <v>100</v>
      </c>
      <c r="C519">
        <v>41551</v>
      </c>
      <c r="D519">
        <v>4</v>
      </c>
      <c r="E519">
        <v>100</v>
      </c>
      <c r="G519" t="s">
        <v>463</v>
      </c>
      <c r="H519" t="s">
        <v>474</v>
      </c>
      <c r="I519" t="s">
        <v>9</v>
      </c>
    </row>
    <row r="520" spans="1:9" x14ac:dyDescent="0.2">
      <c r="A520" t="s">
        <v>6</v>
      </c>
      <c r="B520">
        <v>203</v>
      </c>
      <c r="C520">
        <v>148198</v>
      </c>
      <c r="D520">
        <v>31</v>
      </c>
      <c r="E520">
        <v>203</v>
      </c>
      <c r="G520" t="s">
        <v>470</v>
      </c>
      <c r="H520" t="s">
        <v>471</v>
      </c>
      <c r="I520" t="s">
        <v>9</v>
      </c>
    </row>
    <row r="521" spans="1:9" x14ac:dyDescent="0.2">
      <c r="A521" t="s">
        <v>6</v>
      </c>
      <c r="B521">
        <v>250</v>
      </c>
      <c r="C521">
        <v>34537</v>
      </c>
      <c r="D521">
        <v>1</v>
      </c>
      <c r="E521">
        <v>250</v>
      </c>
      <c r="G521" t="s">
        <v>487</v>
      </c>
      <c r="H521" t="s">
        <v>471</v>
      </c>
      <c r="I521" t="s">
        <v>9</v>
      </c>
    </row>
    <row r="522" spans="1:9" x14ac:dyDescent="0.2">
      <c r="A522" t="s">
        <v>6</v>
      </c>
      <c r="B522">
        <v>32</v>
      </c>
      <c r="C522">
        <v>18104</v>
      </c>
      <c r="D522">
        <v>226</v>
      </c>
      <c r="E522">
        <v>32</v>
      </c>
      <c r="G522" t="s">
        <v>464</v>
      </c>
      <c r="H522" t="s">
        <v>465</v>
      </c>
      <c r="I522" t="s">
        <v>9</v>
      </c>
    </row>
    <row r="523" spans="1:9" x14ac:dyDescent="0.2">
      <c r="A523" t="s">
        <v>6</v>
      </c>
      <c r="B523">
        <v>5</v>
      </c>
      <c r="C523">
        <v>519</v>
      </c>
      <c r="D523">
        <v>4</v>
      </c>
      <c r="E523">
        <v>5</v>
      </c>
      <c r="G523" t="s">
        <v>468</v>
      </c>
      <c r="H523" t="s">
        <v>469</v>
      </c>
      <c r="I523" t="s">
        <v>9</v>
      </c>
    </row>
    <row r="524" spans="1:9" x14ac:dyDescent="0.2">
      <c r="A524" t="s">
        <v>6</v>
      </c>
      <c r="B524">
        <v>6238</v>
      </c>
      <c r="C524">
        <v>653494</v>
      </c>
      <c r="D524">
        <v>63</v>
      </c>
      <c r="E524">
        <v>6238</v>
      </c>
      <c r="G524" t="s">
        <v>461</v>
      </c>
      <c r="H524" t="s">
        <v>460</v>
      </c>
      <c r="I524" t="s">
        <v>9</v>
      </c>
    </row>
    <row r="525" spans="1:9" x14ac:dyDescent="0.2">
      <c r="A525" t="s">
        <v>6</v>
      </c>
      <c r="B525">
        <v>1441</v>
      </c>
      <c r="C525">
        <v>606461</v>
      </c>
      <c r="D525">
        <v>31</v>
      </c>
      <c r="E525">
        <v>1441</v>
      </c>
      <c r="G525" t="s">
        <v>470</v>
      </c>
      <c r="H525" t="s">
        <v>471</v>
      </c>
      <c r="I525" t="s">
        <v>9</v>
      </c>
    </row>
    <row r="526" spans="1:9" x14ac:dyDescent="0.2">
      <c r="A526" t="s">
        <v>6</v>
      </c>
      <c r="B526">
        <v>4892</v>
      </c>
      <c r="C526">
        <v>2027986</v>
      </c>
      <c r="D526">
        <v>29</v>
      </c>
      <c r="E526">
        <v>4892</v>
      </c>
      <c r="G526" t="s">
        <v>471</v>
      </c>
      <c r="H526" t="s">
        <v>472</v>
      </c>
      <c r="I526" t="s">
        <v>9</v>
      </c>
    </row>
    <row r="527" spans="1:9" x14ac:dyDescent="0.2">
      <c r="A527" t="s">
        <v>6</v>
      </c>
      <c r="B527">
        <v>457</v>
      </c>
      <c r="C527">
        <v>181242</v>
      </c>
      <c r="D527">
        <v>32</v>
      </c>
      <c r="E527">
        <v>457</v>
      </c>
      <c r="G527" t="s">
        <v>479</v>
      </c>
      <c r="H527" t="s">
        <v>463</v>
      </c>
      <c r="I527" t="s">
        <v>9</v>
      </c>
    </row>
    <row r="528" spans="1:9" x14ac:dyDescent="0.2">
      <c r="A528" t="s">
        <v>6</v>
      </c>
      <c r="B528">
        <v>120</v>
      </c>
      <c r="C528">
        <v>67642</v>
      </c>
      <c r="D528">
        <v>40</v>
      </c>
      <c r="E528">
        <v>120</v>
      </c>
      <c r="G528" t="s">
        <v>479</v>
      </c>
      <c r="H528" t="s">
        <v>480</v>
      </c>
      <c r="I528" t="s">
        <v>9</v>
      </c>
    </row>
    <row r="529" spans="1:9" x14ac:dyDescent="0.2">
      <c r="A529" t="s">
        <v>6</v>
      </c>
      <c r="B529">
        <v>5000</v>
      </c>
      <c r="C529">
        <v>7793725</v>
      </c>
      <c r="D529">
        <v>7</v>
      </c>
      <c r="E529">
        <v>5000</v>
      </c>
      <c r="G529" t="s">
        <v>483</v>
      </c>
      <c r="H529" t="s">
        <v>480</v>
      </c>
      <c r="I529" t="s">
        <v>9</v>
      </c>
    </row>
    <row r="530" spans="1:9" x14ac:dyDescent="0.2">
      <c r="A530" t="s">
        <v>6</v>
      </c>
      <c r="B530">
        <v>782</v>
      </c>
      <c r="C530">
        <v>644742</v>
      </c>
      <c r="D530">
        <v>84</v>
      </c>
      <c r="E530">
        <v>782</v>
      </c>
      <c r="G530" t="s">
        <v>459</v>
      </c>
      <c r="H530" t="s">
        <v>460</v>
      </c>
      <c r="I530" t="s">
        <v>9</v>
      </c>
    </row>
    <row r="531" spans="1:9" x14ac:dyDescent="0.2">
      <c r="A531" t="s">
        <v>6</v>
      </c>
      <c r="B531">
        <v>87</v>
      </c>
      <c r="C531">
        <v>22686</v>
      </c>
      <c r="D531">
        <v>10</v>
      </c>
      <c r="E531">
        <v>87</v>
      </c>
      <c r="G531" t="s">
        <v>457</v>
      </c>
      <c r="H531" t="s">
        <v>458</v>
      </c>
      <c r="I531" t="s">
        <v>9</v>
      </c>
    </row>
    <row r="532" spans="1:9" x14ac:dyDescent="0.2">
      <c r="A532" t="s">
        <v>6</v>
      </c>
      <c r="B532">
        <v>1346</v>
      </c>
      <c r="C532">
        <v>524194</v>
      </c>
      <c r="D532">
        <v>84</v>
      </c>
      <c r="E532">
        <v>1346</v>
      </c>
      <c r="G532" t="s">
        <v>459</v>
      </c>
      <c r="H532" t="s">
        <v>460</v>
      </c>
      <c r="I532" t="s">
        <v>9</v>
      </c>
    </row>
    <row r="533" spans="1:9" x14ac:dyDescent="0.2">
      <c r="A533" t="s">
        <v>6</v>
      </c>
      <c r="B533">
        <v>32</v>
      </c>
      <c r="C533">
        <v>21777</v>
      </c>
      <c r="D533">
        <v>-2</v>
      </c>
      <c r="E533">
        <v>32</v>
      </c>
      <c r="G533" t="s">
        <v>479</v>
      </c>
      <c r="H533" t="s">
        <v>470</v>
      </c>
      <c r="I533" t="s">
        <v>9</v>
      </c>
    </row>
    <row r="534" spans="1:9" x14ac:dyDescent="0.2">
      <c r="A534" t="s">
        <v>6</v>
      </c>
      <c r="B534">
        <v>500</v>
      </c>
      <c r="C534">
        <v>299661</v>
      </c>
      <c r="D534">
        <v>7</v>
      </c>
      <c r="E534">
        <v>500</v>
      </c>
      <c r="G534" t="s">
        <v>507</v>
      </c>
      <c r="H534" t="s">
        <v>471</v>
      </c>
      <c r="I534" t="s">
        <v>9</v>
      </c>
    </row>
    <row r="535" spans="1:9" x14ac:dyDescent="0.2">
      <c r="A535" t="s">
        <v>6</v>
      </c>
      <c r="B535">
        <v>592</v>
      </c>
      <c r="C535">
        <v>326247</v>
      </c>
      <c r="D535">
        <v>32</v>
      </c>
      <c r="E535">
        <v>592</v>
      </c>
      <c r="G535" t="s">
        <v>479</v>
      </c>
      <c r="H535" t="s">
        <v>463</v>
      </c>
      <c r="I535" t="s">
        <v>9</v>
      </c>
    </row>
    <row r="536" spans="1:9" x14ac:dyDescent="0.2">
      <c r="A536" t="s">
        <v>6</v>
      </c>
      <c r="B536">
        <v>1754</v>
      </c>
      <c r="C536">
        <v>1442405</v>
      </c>
      <c r="D536">
        <v>84</v>
      </c>
      <c r="E536">
        <v>1754</v>
      </c>
      <c r="G536" t="s">
        <v>459</v>
      </c>
      <c r="H536" t="s">
        <v>460</v>
      </c>
      <c r="I536" t="s">
        <v>9</v>
      </c>
    </row>
    <row r="537" spans="1:9" x14ac:dyDescent="0.2">
      <c r="A537" t="s">
        <v>6</v>
      </c>
      <c r="B537">
        <v>325</v>
      </c>
      <c r="C537">
        <v>123822</v>
      </c>
      <c r="D537">
        <v>12</v>
      </c>
      <c r="E537">
        <v>325</v>
      </c>
      <c r="G537" t="s">
        <v>477</v>
      </c>
      <c r="H537" t="s">
        <v>469</v>
      </c>
      <c r="I537" t="s">
        <v>9</v>
      </c>
    </row>
    <row r="538" spans="1:9" x14ac:dyDescent="0.2">
      <c r="A538" t="s">
        <v>6</v>
      </c>
      <c r="B538">
        <v>150</v>
      </c>
      <c r="C538">
        <v>59456</v>
      </c>
      <c r="D538">
        <v>7</v>
      </c>
      <c r="E538">
        <v>150</v>
      </c>
      <c r="G538" t="s">
        <v>463</v>
      </c>
      <c r="H538" t="s">
        <v>469</v>
      </c>
      <c r="I538" t="s">
        <v>9</v>
      </c>
    </row>
    <row r="539" spans="1:9" x14ac:dyDescent="0.2">
      <c r="A539" t="s">
        <v>6</v>
      </c>
      <c r="B539">
        <v>6242</v>
      </c>
      <c r="C539">
        <v>2088155</v>
      </c>
      <c r="D539">
        <v>29</v>
      </c>
      <c r="E539">
        <v>6242</v>
      </c>
      <c r="G539" t="s">
        <v>471</v>
      </c>
      <c r="H539" t="s">
        <v>472</v>
      </c>
      <c r="I539" t="s">
        <v>9</v>
      </c>
    </row>
    <row r="540" spans="1:9" x14ac:dyDescent="0.2">
      <c r="A540" t="s">
        <v>6</v>
      </c>
      <c r="B540">
        <v>117</v>
      </c>
      <c r="C540">
        <v>12906</v>
      </c>
      <c r="D540">
        <v>27</v>
      </c>
      <c r="E540">
        <v>117</v>
      </c>
      <c r="G540" t="s">
        <v>467</v>
      </c>
      <c r="H540" t="s">
        <v>458</v>
      </c>
      <c r="I540" t="s">
        <v>9</v>
      </c>
    </row>
    <row r="541" spans="1:9" x14ac:dyDescent="0.2">
      <c r="A541" t="s">
        <v>6</v>
      </c>
      <c r="B541">
        <v>20</v>
      </c>
      <c r="C541">
        <v>20033</v>
      </c>
      <c r="D541">
        <v>1</v>
      </c>
      <c r="E541">
        <v>20</v>
      </c>
      <c r="G541" t="s">
        <v>517</v>
      </c>
      <c r="H541" t="s">
        <v>519</v>
      </c>
      <c r="I541" t="s">
        <v>9</v>
      </c>
    </row>
    <row r="542" spans="1:9" x14ac:dyDescent="0.2">
      <c r="A542" t="s">
        <v>6</v>
      </c>
      <c r="B542">
        <v>32</v>
      </c>
      <c r="C542">
        <v>3391</v>
      </c>
      <c r="D542">
        <v>27</v>
      </c>
      <c r="E542">
        <v>32</v>
      </c>
      <c r="G542" t="s">
        <v>467</v>
      </c>
      <c r="H542" t="s">
        <v>458</v>
      </c>
      <c r="I542" t="s">
        <v>9</v>
      </c>
    </row>
    <row r="543" spans="1:9" x14ac:dyDescent="0.2">
      <c r="A543" t="s">
        <v>6</v>
      </c>
      <c r="B543">
        <v>17459</v>
      </c>
      <c r="C543">
        <v>1811479</v>
      </c>
      <c r="D543">
        <v>8</v>
      </c>
      <c r="E543">
        <v>17459</v>
      </c>
      <c r="G543" t="s">
        <v>474</v>
      </c>
      <c r="H543" t="s">
        <v>475</v>
      </c>
      <c r="I543" t="s">
        <v>9</v>
      </c>
    </row>
    <row r="544" spans="1:9" x14ac:dyDescent="0.2">
      <c r="A544" t="s">
        <v>6</v>
      </c>
      <c r="B544">
        <v>0</v>
      </c>
      <c r="C544">
        <v>4</v>
      </c>
      <c r="D544">
        <v>10</v>
      </c>
      <c r="E544">
        <v>0</v>
      </c>
      <c r="G544" t="s">
        <v>492</v>
      </c>
      <c r="H544" t="s">
        <v>493</v>
      </c>
      <c r="I544" t="s">
        <v>9</v>
      </c>
    </row>
    <row r="545" spans="1:9" x14ac:dyDescent="0.2">
      <c r="A545" t="s">
        <v>6</v>
      </c>
      <c r="B545">
        <v>607</v>
      </c>
      <c r="C545">
        <v>334020</v>
      </c>
      <c r="D545">
        <v>52</v>
      </c>
      <c r="E545">
        <v>607</v>
      </c>
      <c r="G545" t="s">
        <v>459</v>
      </c>
      <c r="H545" t="s">
        <v>484</v>
      </c>
      <c r="I545" t="s">
        <v>9</v>
      </c>
    </row>
    <row r="546" spans="1:9" x14ac:dyDescent="0.2">
      <c r="A546" t="s">
        <v>6</v>
      </c>
      <c r="B546">
        <v>55</v>
      </c>
      <c r="C546">
        <v>39711</v>
      </c>
      <c r="D546">
        <v>26</v>
      </c>
      <c r="E546">
        <v>55</v>
      </c>
      <c r="G546" t="s">
        <v>482</v>
      </c>
      <c r="H546" t="s">
        <v>471</v>
      </c>
      <c r="I546" t="s">
        <v>9</v>
      </c>
    </row>
    <row r="547" spans="1:9" x14ac:dyDescent="0.2">
      <c r="A547" t="s">
        <v>6</v>
      </c>
      <c r="B547">
        <v>544</v>
      </c>
      <c r="C547">
        <v>289795</v>
      </c>
      <c r="D547">
        <v>32</v>
      </c>
      <c r="E547">
        <v>544</v>
      </c>
      <c r="G547" t="s">
        <v>479</v>
      </c>
      <c r="H547" t="s">
        <v>463</v>
      </c>
      <c r="I547" t="s">
        <v>9</v>
      </c>
    </row>
    <row r="548" spans="1:9" x14ac:dyDescent="0.2">
      <c r="A548" t="s">
        <v>6</v>
      </c>
      <c r="B548">
        <v>51</v>
      </c>
      <c r="C548">
        <v>31717</v>
      </c>
      <c r="D548">
        <v>40</v>
      </c>
      <c r="E548">
        <v>51</v>
      </c>
      <c r="G548" t="s">
        <v>479</v>
      </c>
      <c r="H548" t="s">
        <v>480</v>
      </c>
      <c r="I548" t="s">
        <v>9</v>
      </c>
    </row>
    <row r="549" spans="1:9" x14ac:dyDescent="0.2">
      <c r="A549" t="s">
        <v>6</v>
      </c>
      <c r="B549">
        <v>4844</v>
      </c>
      <c r="C549">
        <v>2394557</v>
      </c>
      <c r="D549">
        <v>10</v>
      </c>
      <c r="E549">
        <v>4844</v>
      </c>
      <c r="G549" t="s">
        <v>492</v>
      </c>
      <c r="H549" t="s">
        <v>493</v>
      </c>
      <c r="I549" t="s">
        <v>9</v>
      </c>
    </row>
    <row r="550" spans="1:9" x14ac:dyDescent="0.2">
      <c r="A550" t="s">
        <v>6</v>
      </c>
      <c r="B550">
        <v>6130</v>
      </c>
      <c r="C550">
        <v>639688</v>
      </c>
      <c r="D550">
        <v>63</v>
      </c>
      <c r="E550">
        <v>6130</v>
      </c>
      <c r="G550" t="s">
        <v>461</v>
      </c>
      <c r="H550" t="s">
        <v>460</v>
      </c>
      <c r="I550" t="s">
        <v>9</v>
      </c>
    </row>
    <row r="551" spans="1:9" x14ac:dyDescent="0.2">
      <c r="A551" t="s">
        <v>6</v>
      </c>
      <c r="B551">
        <v>30</v>
      </c>
      <c r="C551">
        <v>2840</v>
      </c>
      <c r="D551">
        <v>27</v>
      </c>
      <c r="E551">
        <v>30</v>
      </c>
      <c r="G551" t="s">
        <v>467</v>
      </c>
      <c r="H551" t="s">
        <v>458</v>
      </c>
      <c r="I551" t="s">
        <v>9</v>
      </c>
    </row>
    <row r="552" spans="1:9" x14ac:dyDescent="0.2">
      <c r="A552" t="s">
        <v>6</v>
      </c>
      <c r="B552">
        <v>6208</v>
      </c>
      <c r="C552">
        <v>4161586</v>
      </c>
      <c r="D552">
        <v>63</v>
      </c>
      <c r="E552">
        <v>6208</v>
      </c>
      <c r="G552" t="s">
        <v>461</v>
      </c>
      <c r="H552" t="s">
        <v>460</v>
      </c>
      <c r="I552" t="s">
        <v>9</v>
      </c>
    </row>
    <row r="553" spans="1:9" x14ac:dyDescent="0.2">
      <c r="A553" t="s">
        <v>6</v>
      </c>
      <c r="B553">
        <v>3656</v>
      </c>
      <c r="C553">
        <v>377674</v>
      </c>
      <c r="D553">
        <v>84</v>
      </c>
      <c r="E553">
        <v>3656</v>
      </c>
      <c r="G553" t="s">
        <v>459</v>
      </c>
      <c r="H553" t="s">
        <v>460</v>
      </c>
      <c r="I553" t="s">
        <v>9</v>
      </c>
    </row>
    <row r="554" spans="1:9" x14ac:dyDescent="0.2">
      <c r="A554" t="s">
        <v>6</v>
      </c>
      <c r="B554">
        <v>983</v>
      </c>
      <c r="C554">
        <v>402347</v>
      </c>
      <c r="D554">
        <v>84</v>
      </c>
      <c r="E554">
        <v>983</v>
      </c>
      <c r="G554" t="s">
        <v>459</v>
      </c>
      <c r="H554" t="s">
        <v>460</v>
      </c>
      <c r="I554" t="s">
        <v>9</v>
      </c>
    </row>
    <row r="555" spans="1:9" x14ac:dyDescent="0.2">
      <c r="A555" t="s">
        <v>6</v>
      </c>
      <c r="B555">
        <v>515</v>
      </c>
      <c r="C555">
        <v>477921</v>
      </c>
      <c r="D555">
        <v>26</v>
      </c>
      <c r="E555">
        <v>515</v>
      </c>
      <c r="G555" t="s">
        <v>482</v>
      </c>
      <c r="H555" t="s">
        <v>471</v>
      </c>
      <c r="I555" t="s">
        <v>9</v>
      </c>
    </row>
    <row r="556" spans="1:9" x14ac:dyDescent="0.2">
      <c r="A556" t="s">
        <v>6</v>
      </c>
      <c r="B556">
        <v>300</v>
      </c>
      <c r="C556">
        <v>211090</v>
      </c>
      <c r="D556">
        <v>35</v>
      </c>
      <c r="E556">
        <v>300</v>
      </c>
      <c r="G556" t="s">
        <v>462</v>
      </c>
      <c r="H556" t="s">
        <v>476</v>
      </c>
      <c r="I556" t="s">
        <v>9</v>
      </c>
    </row>
    <row r="557" spans="1:9" x14ac:dyDescent="0.2">
      <c r="A557" t="s">
        <v>6</v>
      </c>
      <c r="B557">
        <v>48</v>
      </c>
      <c r="C557">
        <v>28896</v>
      </c>
      <c r="D557">
        <v>226</v>
      </c>
      <c r="E557">
        <v>48</v>
      </c>
      <c r="G557" t="s">
        <v>464</v>
      </c>
      <c r="H557" t="s">
        <v>465</v>
      </c>
      <c r="I557" t="s">
        <v>9</v>
      </c>
    </row>
    <row r="558" spans="1:9" x14ac:dyDescent="0.2">
      <c r="A558" t="s">
        <v>6</v>
      </c>
      <c r="B558">
        <v>3292</v>
      </c>
      <c r="C558">
        <v>1617205</v>
      </c>
      <c r="D558">
        <v>10</v>
      </c>
      <c r="E558">
        <v>3292</v>
      </c>
      <c r="G558" t="s">
        <v>492</v>
      </c>
      <c r="H558" t="s">
        <v>493</v>
      </c>
      <c r="I558" t="s">
        <v>9</v>
      </c>
    </row>
    <row r="559" spans="1:9" x14ac:dyDescent="0.2">
      <c r="A559" t="s">
        <v>6</v>
      </c>
      <c r="B559">
        <v>2137</v>
      </c>
      <c r="C559">
        <v>936465</v>
      </c>
      <c r="D559">
        <v>84</v>
      </c>
      <c r="E559">
        <v>2137</v>
      </c>
      <c r="G559" t="s">
        <v>459</v>
      </c>
      <c r="H559" t="s">
        <v>460</v>
      </c>
      <c r="I559" t="s">
        <v>9</v>
      </c>
    </row>
    <row r="560" spans="1:9" x14ac:dyDescent="0.2">
      <c r="A560" t="s">
        <v>6</v>
      </c>
      <c r="B560">
        <v>1247</v>
      </c>
      <c r="C560">
        <v>497012</v>
      </c>
      <c r="D560">
        <v>31</v>
      </c>
      <c r="E560">
        <v>1247</v>
      </c>
      <c r="G560" t="s">
        <v>470</v>
      </c>
      <c r="H560" t="s">
        <v>471</v>
      </c>
      <c r="I560" t="s">
        <v>9</v>
      </c>
    </row>
    <row r="561" spans="1:9" x14ac:dyDescent="0.2">
      <c r="A561" t="s">
        <v>6</v>
      </c>
      <c r="B561">
        <v>12766</v>
      </c>
      <c r="C561">
        <v>5956868</v>
      </c>
      <c r="D561">
        <v>8</v>
      </c>
      <c r="E561">
        <v>12766</v>
      </c>
      <c r="G561" t="s">
        <v>474</v>
      </c>
      <c r="H561" t="s">
        <v>475</v>
      </c>
      <c r="I561" t="s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1E48E-5A15-EC40-BBBF-C8AFEFC6196E}">
  <dimension ref="A1:I585"/>
  <sheetViews>
    <sheetView topLeftCell="I1" workbookViewId="0">
      <selection activeCell="E25" sqref="E25"/>
    </sheetView>
  </sheetViews>
  <sheetFormatPr baseColWidth="10" defaultRowHeight="16" x14ac:dyDescent="0.2"/>
  <cols>
    <col min="1" max="1" width="16.5" customWidth="1"/>
    <col min="5" max="5" width="13" customWidth="1"/>
    <col min="6" max="6" width="17.33203125" customWidth="1"/>
  </cols>
  <sheetData>
    <row r="1" spans="1:9" x14ac:dyDescent="0.2">
      <c r="A1" t="s">
        <v>520</v>
      </c>
    </row>
    <row r="2" spans="1:9" ht="17" thickBot="1" x14ac:dyDescent="0.25"/>
    <row r="3" spans="1:9" x14ac:dyDescent="0.2">
      <c r="A3" s="5" t="s">
        <v>521</v>
      </c>
      <c r="B3" s="5"/>
    </row>
    <row r="4" spans="1:9" x14ac:dyDescent="0.2">
      <c r="A4" s="2" t="s">
        <v>522</v>
      </c>
      <c r="B4" s="2">
        <v>0.78145418792759225</v>
      </c>
    </row>
    <row r="5" spans="1:9" x14ac:dyDescent="0.2">
      <c r="A5" s="2" t="s">
        <v>523</v>
      </c>
      <c r="B5" s="2">
        <v>0.6106706478295727</v>
      </c>
    </row>
    <row r="6" spans="1:9" x14ac:dyDescent="0.2">
      <c r="A6" s="2" t="s">
        <v>524</v>
      </c>
      <c r="B6" s="2">
        <v>0.60927269683434682</v>
      </c>
    </row>
    <row r="7" spans="1:9" x14ac:dyDescent="0.2">
      <c r="A7" s="2" t="s">
        <v>525</v>
      </c>
      <c r="B7" s="2">
        <v>2316026.6391138141</v>
      </c>
    </row>
    <row r="8" spans="1:9" ht="17" thickBot="1" x14ac:dyDescent="0.25">
      <c r="A8" s="3" t="s">
        <v>526</v>
      </c>
      <c r="B8" s="3">
        <v>560</v>
      </c>
    </row>
    <row r="10" spans="1:9" ht="17" thickBot="1" x14ac:dyDescent="0.25">
      <c r="A10" t="s">
        <v>527</v>
      </c>
    </row>
    <row r="11" spans="1:9" x14ac:dyDescent="0.2">
      <c r="A11" s="4"/>
      <c r="B11" s="4" t="s">
        <v>532</v>
      </c>
      <c r="C11" s="4" t="s">
        <v>533</v>
      </c>
      <c r="D11" s="4" t="s">
        <v>534</v>
      </c>
      <c r="E11" s="4" t="s">
        <v>535</v>
      </c>
      <c r="F11" s="4" t="s">
        <v>536</v>
      </c>
    </row>
    <row r="12" spans="1:9" x14ac:dyDescent="0.2">
      <c r="A12" s="2" t="s">
        <v>528</v>
      </c>
      <c r="B12" s="2">
        <v>2</v>
      </c>
      <c r="C12" s="2">
        <v>4686322742508083</v>
      </c>
      <c r="D12" s="2">
        <v>2343161371254041.5</v>
      </c>
      <c r="E12" s="2">
        <v>436.83265716397307</v>
      </c>
      <c r="F12" s="2">
        <v>8.0043389711859894E-115</v>
      </c>
    </row>
    <row r="13" spans="1:9" x14ac:dyDescent="0.2">
      <c r="A13" s="2" t="s">
        <v>529</v>
      </c>
      <c r="B13" s="2">
        <v>557</v>
      </c>
      <c r="C13" s="2">
        <v>2987736521948250</v>
      </c>
      <c r="D13" s="2">
        <v>5363979393084.8291</v>
      </c>
      <c r="E13" s="2"/>
      <c r="F13" s="2"/>
    </row>
    <row r="14" spans="1:9" ht="17" thickBot="1" x14ac:dyDescent="0.25">
      <c r="A14" s="3" t="s">
        <v>530</v>
      </c>
      <c r="B14" s="3">
        <v>559</v>
      </c>
      <c r="C14" s="3">
        <v>7674059264456333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537</v>
      </c>
      <c r="C16" s="4" t="s">
        <v>525</v>
      </c>
      <c r="D16" s="4" t="s">
        <v>538</v>
      </c>
      <c r="E16" s="4" t="s">
        <v>539</v>
      </c>
      <c r="F16" s="4" t="s">
        <v>540</v>
      </c>
      <c r="G16" s="4" t="s">
        <v>541</v>
      </c>
      <c r="H16" s="4" t="s">
        <v>542</v>
      </c>
      <c r="I16" s="4" t="s">
        <v>543</v>
      </c>
    </row>
    <row r="17" spans="1:9" x14ac:dyDescent="0.2">
      <c r="A17" s="2" t="s">
        <v>531</v>
      </c>
      <c r="B17" s="2">
        <v>-59559.539501510793</v>
      </c>
      <c r="C17" s="2">
        <v>130886.94528135784</v>
      </c>
      <c r="D17" s="2">
        <v>-0.45504568368892806</v>
      </c>
      <c r="E17" s="2">
        <v>0.64925368230433933</v>
      </c>
      <c r="F17" s="2">
        <v>-316651.88041888259</v>
      </c>
      <c r="G17" s="2">
        <v>197532.80141586103</v>
      </c>
      <c r="H17" s="2">
        <v>-316651.88041888259</v>
      </c>
      <c r="I17" s="2">
        <v>197532.80141586103</v>
      </c>
    </row>
    <row r="18" spans="1:9" x14ac:dyDescent="0.2">
      <c r="A18" s="2" t="s">
        <v>456</v>
      </c>
      <c r="B18" s="2">
        <v>1659.3477469709787</v>
      </c>
      <c r="C18" s="2">
        <v>1754.7689608693718</v>
      </c>
      <c r="D18" s="2">
        <v>0.94562177926197299</v>
      </c>
      <c r="E18" s="2">
        <v>0.34475155415175851</v>
      </c>
      <c r="F18" s="2">
        <v>-1787.4257944947044</v>
      </c>
      <c r="G18" s="2">
        <v>5106.1212884366614</v>
      </c>
      <c r="H18" s="2">
        <v>-1787.4257944947044</v>
      </c>
      <c r="I18" s="2">
        <v>5106.1212884366614</v>
      </c>
    </row>
    <row r="19" spans="1:9" ht="17" thickBot="1" x14ac:dyDescent="0.25">
      <c r="A19" s="3" t="s">
        <v>1</v>
      </c>
      <c r="B19" s="3">
        <v>367.33186241977802</v>
      </c>
      <c r="C19" s="3">
        <v>12.445014747622785</v>
      </c>
      <c r="D19" s="3">
        <v>29.516386269445345</v>
      </c>
      <c r="E19" s="3">
        <v>5.5736395882274457E-116</v>
      </c>
      <c r="F19" s="3">
        <v>342.88696482254409</v>
      </c>
      <c r="G19" s="3">
        <v>391.77676001701195</v>
      </c>
      <c r="H19" s="3">
        <v>342.88696482254409</v>
      </c>
      <c r="I19" s="3">
        <v>391.77676001701195</v>
      </c>
    </row>
    <row r="23" spans="1:9" x14ac:dyDescent="0.2">
      <c r="A23" t="s">
        <v>544</v>
      </c>
      <c r="E23" t="s">
        <v>548</v>
      </c>
    </row>
    <row r="24" spans="1:9" ht="17" thickBot="1" x14ac:dyDescent="0.25"/>
    <row r="25" spans="1:9" x14ac:dyDescent="0.2">
      <c r="A25" s="4" t="s">
        <v>545</v>
      </c>
      <c r="B25" s="4" t="s">
        <v>546</v>
      </c>
      <c r="C25" s="4" t="s">
        <v>547</v>
      </c>
      <c r="E25" s="4" t="s">
        <v>549</v>
      </c>
      <c r="F25" s="4" t="s">
        <v>2</v>
      </c>
    </row>
    <row r="26" spans="1:9" x14ac:dyDescent="0.2">
      <c r="A26" s="2">
        <v>1</v>
      </c>
      <c r="B26" s="2">
        <v>-42598.730169381226</v>
      </c>
      <c r="C26" s="2">
        <v>42858.730169381226</v>
      </c>
      <c r="E26" s="2">
        <v>8.9285714285714288E-2</v>
      </c>
      <c r="F26" s="2">
        <v>1</v>
      </c>
    </row>
    <row r="27" spans="1:9" x14ac:dyDescent="0.2">
      <c r="A27" s="2">
        <v>2</v>
      </c>
      <c r="B27" s="2">
        <v>3293612.135554689</v>
      </c>
      <c r="C27" s="2">
        <v>787836.86444531102</v>
      </c>
      <c r="E27" s="2">
        <v>0.26785714285714285</v>
      </c>
      <c r="F27" s="2">
        <v>1</v>
      </c>
    </row>
    <row r="28" spans="1:9" x14ac:dyDescent="0.2">
      <c r="A28" s="2">
        <v>3</v>
      </c>
      <c r="B28" s="2">
        <v>-42231.398306961448</v>
      </c>
      <c r="C28" s="2">
        <v>42960.398306961448</v>
      </c>
      <c r="E28" s="2">
        <v>0.44642857142857145</v>
      </c>
      <c r="F28" s="2">
        <v>1</v>
      </c>
    </row>
    <row r="29" spans="1:9" x14ac:dyDescent="0.2">
      <c r="A29" s="2">
        <v>4</v>
      </c>
      <c r="B29" s="2">
        <v>419240.31211992633</v>
      </c>
      <c r="C29" s="2">
        <v>387562.68788007367</v>
      </c>
      <c r="E29" s="2">
        <v>0.625</v>
      </c>
      <c r="F29" s="2">
        <v>2</v>
      </c>
    </row>
    <row r="30" spans="1:9" x14ac:dyDescent="0.2">
      <c r="A30" s="2">
        <v>5</v>
      </c>
      <c r="B30" s="2">
        <v>2815396.2749276268</v>
      </c>
      <c r="C30" s="2">
        <v>2619244.7250723732</v>
      </c>
      <c r="E30" s="2">
        <v>0.8035714285714286</v>
      </c>
      <c r="F30" s="2">
        <v>4</v>
      </c>
    </row>
    <row r="31" spans="1:9" x14ac:dyDescent="0.2">
      <c r="A31" s="2">
        <v>6</v>
      </c>
      <c r="B31" s="2">
        <v>1269663.7978652008</v>
      </c>
      <c r="C31" s="2">
        <v>2012611.2021347992</v>
      </c>
      <c r="E31" s="2">
        <v>0.98214285714285721</v>
      </c>
      <c r="F31" s="2">
        <v>4</v>
      </c>
    </row>
    <row r="32" spans="1:9" x14ac:dyDescent="0.2">
      <c r="A32" s="2">
        <v>7</v>
      </c>
      <c r="B32" s="2">
        <v>70552.192188074347</v>
      </c>
      <c r="C32" s="2">
        <v>85658.807811925653</v>
      </c>
      <c r="E32" s="2">
        <v>1.1607142857142856</v>
      </c>
      <c r="F32" s="2">
        <v>11</v>
      </c>
    </row>
    <row r="33" spans="1:6" x14ac:dyDescent="0.2">
      <c r="A33" s="2">
        <v>8</v>
      </c>
      <c r="B33" s="2">
        <v>361002.20225398289</v>
      </c>
      <c r="C33" s="2">
        <v>-290707.20225398289</v>
      </c>
      <c r="E33" s="2">
        <v>1.3392857142857142</v>
      </c>
      <c r="F33" s="2">
        <v>68</v>
      </c>
    </row>
    <row r="34" spans="1:6" x14ac:dyDescent="0.2">
      <c r="A34" s="2">
        <v>9</v>
      </c>
      <c r="B34" s="2">
        <v>15085.080962687876</v>
      </c>
      <c r="C34" s="2">
        <v>23871.919037312124</v>
      </c>
      <c r="E34" s="2">
        <v>1.5178571428571428</v>
      </c>
      <c r="F34" s="2">
        <v>69</v>
      </c>
    </row>
    <row r="35" spans="1:6" x14ac:dyDescent="0.2">
      <c r="A35" s="2">
        <v>10</v>
      </c>
      <c r="B35" s="2">
        <v>397368.05663354089</v>
      </c>
      <c r="C35" s="2">
        <v>-266119.05663354089</v>
      </c>
      <c r="E35" s="2">
        <v>1.6964285714285714</v>
      </c>
      <c r="F35" s="2">
        <v>97</v>
      </c>
    </row>
    <row r="36" spans="1:6" x14ac:dyDescent="0.2">
      <c r="A36" s="2">
        <v>11</v>
      </c>
      <c r="B36" s="2">
        <v>5167.1206773538652</v>
      </c>
      <c r="C36" s="2">
        <v>51371.879322646135</v>
      </c>
      <c r="E36" s="2">
        <v>1.875</v>
      </c>
      <c r="F36" s="2">
        <v>247</v>
      </c>
    </row>
    <row r="37" spans="1:6" x14ac:dyDescent="0.2">
      <c r="A37" s="2">
        <v>12</v>
      </c>
      <c r="B37" s="2">
        <v>172582.09950079245</v>
      </c>
      <c r="C37" s="2">
        <v>-96545.09950079245</v>
      </c>
      <c r="E37" s="2">
        <v>2.0535714285714288</v>
      </c>
      <c r="F37" s="2">
        <v>260</v>
      </c>
    </row>
    <row r="38" spans="1:6" x14ac:dyDescent="0.2">
      <c r="A38" s="2">
        <v>13</v>
      </c>
      <c r="B38" s="2">
        <v>58012.07393714608</v>
      </c>
      <c r="C38" s="2">
        <v>-27505.07393714608</v>
      </c>
      <c r="E38" s="2">
        <v>2.2321428571428572</v>
      </c>
      <c r="F38" s="2">
        <v>277</v>
      </c>
    </row>
    <row r="39" spans="1:6" x14ac:dyDescent="0.2">
      <c r="A39" s="2">
        <v>14</v>
      </c>
      <c r="B39" s="2">
        <v>86284.529296472494</v>
      </c>
      <c r="C39" s="2">
        <v>115592.47070352751</v>
      </c>
      <c r="E39" s="2">
        <v>2.410714285714286</v>
      </c>
      <c r="F39" s="2">
        <v>280</v>
      </c>
    </row>
    <row r="40" spans="1:6" x14ac:dyDescent="0.2">
      <c r="A40" s="2">
        <v>15</v>
      </c>
      <c r="B40" s="2">
        <v>16833.389834806541</v>
      </c>
      <c r="C40" s="2">
        <v>-7002.3898348065413</v>
      </c>
      <c r="E40" s="2">
        <v>2.5892857142857144</v>
      </c>
      <c r="F40" s="2">
        <v>284</v>
      </c>
    </row>
    <row r="41" spans="1:6" x14ac:dyDescent="0.2">
      <c r="A41" s="2">
        <v>16</v>
      </c>
      <c r="B41" s="2">
        <v>-49983.493614268649</v>
      </c>
      <c r="C41" s="2">
        <v>50792.493614268649</v>
      </c>
      <c r="E41" s="2">
        <v>2.7678571428571432</v>
      </c>
      <c r="F41" s="2">
        <v>284</v>
      </c>
    </row>
    <row r="42" spans="1:6" x14ac:dyDescent="0.2">
      <c r="A42" s="2">
        <v>17</v>
      </c>
      <c r="B42" s="2">
        <v>1260049.0150962994</v>
      </c>
      <c r="C42" s="2">
        <v>-158824.01509629935</v>
      </c>
      <c r="E42" s="2">
        <v>2.9464285714285716</v>
      </c>
      <c r="F42" s="2">
        <v>332</v>
      </c>
    </row>
    <row r="43" spans="1:6" x14ac:dyDescent="0.2">
      <c r="A43" s="2">
        <v>18</v>
      </c>
      <c r="B43" s="2">
        <v>302705.9292373741</v>
      </c>
      <c r="C43" s="2">
        <v>-205112.9292373741</v>
      </c>
      <c r="E43" s="2">
        <v>3.125</v>
      </c>
      <c r="F43" s="2">
        <v>354</v>
      </c>
    </row>
    <row r="44" spans="1:6" x14ac:dyDescent="0.2">
      <c r="A44" s="2">
        <v>19</v>
      </c>
      <c r="B44" s="2">
        <v>98925.706719544949</v>
      </c>
      <c r="C44" s="2">
        <v>58240.293280455051</v>
      </c>
      <c r="E44" s="2">
        <v>3.3035714285714288</v>
      </c>
      <c r="F44" s="2">
        <v>445</v>
      </c>
    </row>
    <row r="45" spans="1:6" x14ac:dyDescent="0.2">
      <c r="A45" s="2">
        <v>20</v>
      </c>
      <c r="B45" s="2">
        <v>3982978.4413568019</v>
      </c>
      <c r="C45" s="2">
        <v>1346981.5586431981</v>
      </c>
      <c r="E45" s="2">
        <v>3.4821428571428572</v>
      </c>
      <c r="F45" s="2">
        <v>460</v>
      </c>
    </row>
    <row r="46" spans="1:6" x14ac:dyDescent="0.2">
      <c r="A46" s="2">
        <v>21</v>
      </c>
      <c r="B46" s="2">
        <v>69412.681089490623</v>
      </c>
      <c r="C46" s="2">
        <v>64145.318910509377</v>
      </c>
      <c r="E46" s="2">
        <v>3.660714285714286</v>
      </c>
      <c r="F46" s="2">
        <v>519</v>
      </c>
    </row>
    <row r="47" spans="1:6" x14ac:dyDescent="0.2">
      <c r="A47" s="2">
        <v>22</v>
      </c>
      <c r="B47" s="2">
        <v>60938.630789507821</v>
      </c>
      <c r="C47" s="2">
        <v>94439.369210492179</v>
      </c>
      <c r="E47" s="2">
        <v>3.8392857142857144</v>
      </c>
      <c r="F47" s="2">
        <v>636</v>
      </c>
    </row>
    <row r="48" spans="1:6" x14ac:dyDescent="0.2">
      <c r="A48" s="2">
        <v>23</v>
      </c>
      <c r="B48" s="2">
        <v>27207.032422540549</v>
      </c>
      <c r="C48" s="2">
        <v>52642.967577459451</v>
      </c>
      <c r="E48" s="2">
        <v>4.0178571428571432</v>
      </c>
      <c r="F48" s="2">
        <v>643</v>
      </c>
    </row>
    <row r="49" spans="1:6" x14ac:dyDescent="0.2">
      <c r="A49" s="2">
        <v>24</v>
      </c>
      <c r="B49" s="2">
        <v>4573648.0761278048</v>
      </c>
      <c r="C49" s="2">
        <v>-3276717.0761278048</v>
      </c>
      <c r="E49" s="2">
        <v>4.1964285714285721</v>
      </c>
      <c r="F49" s="2">
        <v>645</v>
      </c>
    </row>
    <row r="50" spans="1:6" x14ac:dyDescent="0.2">
      <c r="A50" s="2">
        <v>25</v>
      </c>
      <c r="B50" s="2">
        <v>2333039.3153269696</v>
      </c>
      <c r="C50" s="2">
        <v>-1689642.3153269696</v>
      </c>
      <c r="E50" s="2">
        <v>4.375</v>
      </c>
      <c r="F50" s="2">
        <v>695</v>
      </c>
    </row>
    <row r="51" spans="1:6" x14ac:dyDescent="0.2">
      <c r="A51" s="2">
        <v>26</v>
      </c>
      <c r="B51" s="2">
        <v>228935.76855181844</v>
      </c>
      <c r="C51" s="2">
        <v>-57468.768551818444</v>
      </c>
      <c r="E51" s="2">
        <v>4.5535714285714288</v>
      </c>
      <c r="F51" s="2">
        <v>729</v>
      </c>
    </row>
    <row r="52" spans="1:6" x14ac:dyDescent="0.2">
      <c r="A52" s="2">
        <v>27</v>
      </c>
      <c r="B52" s="2">
        <v>162272.61125904566</v>
      </c>
      <c r="C52" s="2">
        <v>-56241.611259045661</v>
      </c>
      <c r="E52" s="2">
        <v>4.7321428571428577</v>
      </c>
      <c r="F52" s="2">
        <v>809</v>
      </c>
    </row>
    <row r="53" spans="1:6" x14ac:dyDescent="0.2">
      <c r="A53" s="2">
        <v>28</v>
      </c>
      <c r="B53" s="2">
        <v>74036.101200147736</v>
      </c>
      <c r="C53" s="2">
        <v>15510.898799852264</v>
      </c>
      <c r="E53" s="2">
        <v>4.9107142857142856</v>
      </c>
      <c r="F53" s="2">
        <v>975</v>
      </c>
    </row>
    <row r="54" spans="1:6" x14ac:dyDescent="0.2">
      <c r="A54" s="2">
        <v>29</v>
      </c>
      <c r="B54" s="2">
        <v>-35619.42478340544</v>
      </c>
      <c r="C54" s="2">
        <v>40902.42478340544</v>
      </c>
      <c r="E54" s="2">
        <v>5.0892857142857144</v>
      </c>
      <c r="F54" s="2">
        <v>1063</v>
      </c>
    </row>
    <row r="55" spans="1:6" x14ac:dyDescent="0.2">
      <c r="A55" s="2">
        <v>30</v>
      </c>
      <c r="B55" s="2">
        <v>-42598.730169381226</v>
      </c>
      <c r="C55" s="2">
        <v>42952.730169381226</v>
      </c>
      <c r="E55" s="2">
        <v>5.2678571428571432</v>
      </c>
      <c r="F55" s="2">
        <v>1455</v>
      </c>
    </row>
    <row r="56" spans="1:6" x14ac:dyDescent="0.2">
      <c r="A56" s="2">
        <v>31</v>
      </c>
      <c r="B56" s="2">
        <v>142827.60795962295</v>
      </c>
      <c r="C56" s="2">
        <v>138456.39204037705</v>
      </c>
      <c r="E56" s="2">
        <v>5.4464285714285721</v>
      </c>
      <c r="F56" s="2">
        <v>1597</v>
      </c>
    </row>
    <row r="57" spans="1:6" x14ac:dyDescent="0.2">
      <c r="A57" s="2">
        <v>32</v>
      </c>
      <c r="B57" s="2">
        <v>91211.737608729614</v>
      </c>
      <c r="C57" s="2">
        <v>155099.26239127037</v>
      </c>
      <c r="E57" s="2">
        <v>5.625</v>
      </c>
      <c r="F57" s="2">
        <v>1816</v>
      </c>
    </row>
    <row r="58" spans="1:6" x14ac:dyDescent="0.2">
      <c r="A58" s="2">
        <v>33</v>
      </c>
      <c r="B58" s="2">
        <v>2323538.9111475437</v>
      </c>
      <c r="C58" s="2">
        <v>-1673358.9111475437</v>
      </c>
      <c r="E58" s="2">
        <v>5.8035714285714288</v>
      </c>
      <c r="F58" s="2">
        <v>2054</v>
      </c>
    </row>
    <row r="59" spans="1:6" x14ac:dyDescent="0.2">
      <c r="A59" s="2">
        <v>34</v>
      </c>
      <c r="B59" s="2">
        <v>34465.319230955887</v>
      </c>
      <c r="C59" s="2">
        <v>-21203.319230955887</v>
      </c>
      <c r="E59" s="2">
        <v>5.9821428571428577</v>
      </c>
      <c r="F59" s="2">
        <v>2061</v>
      </c>
    </row>
    <row r="60" spans="1:6" x14ac:dyDescent="0.2">
      <c r="A60" s="2">
        <v>35</v>
      </c>
      <c r="B60" s="2">
        <v>1807006.1582393488</v>
      </c>
      <c r="C60" s="2">
        <v>-781053.15823934879</v>
      </c>
      <c r="E60" s="2">
        <v>6.1607142857142856</v>
      </c>
      <c r="F60" s="2">
        <v>2069</v>
      </c>
    </row>
    <row r="61" spans="1:6" x14ac:dyDescent="0.2">
      <c r="A61" s="2">
        <v>36</v>
      </c>
      <c r="B61" s="2">
        <v>1185708.7935188683</v>
      </c>
      <c r="C61" s="2">
        <v>461843.20648113173</v>
      </c>
      <c r="E61" s="2">
        <v>6.3392857142857144</v>
      </c>
      <c r="F61" s="2">
        <v>2538</v>
      </c>
    </row>
    <row r="62" spans="1:6" x14ac:dyDescent="0.2">
      <c r="A62" s="2">
        <v>37</v>
      </c>
      <c r="B62" s="2">
        <v>-51085.489201527984</v>
      </c>
      <c r="C62" s="2">
        <v>51545.489201527984</v>
      </c>
      <c r="E62" s="2">
        <v>6.5178571428571432</v>
      </c>
      <c r="F62" s="2">
        <v>2585</v>
      </c>
    </row>
    <row r="63" spans="1:6" x14ac:dyDescent="0.2">
      <c r="A63" s="2">
        <v>38</v>
      </c>
      <c r="B63" s="2">
        <v>21608.704046263658</v>
      </c>
      <c r="C63" s="2">
        <v>-10590.704046263658</v>
      </c>
      <c r="E63" s="2">
        <v>6.6964285714285721</v>
      </c>
      <c r="F63" s="2">
        <v>2840</v>
      </c>
    </row>
    <row r="64" spans="1:6" x14ac:dyDescent="0.2">
      <c r="A64" s="2">
        <v>39</v>
      </c>
      <c r="B64" s="2">
        <v>810448.74559698987</v>
      </c>
      <c r="C64" s="2">
        <v>839019.25440301013</v>
      </c>
      <c r="E64" s="2">
        <v>6.875</v>
      </c>
      <c r="F64" s="2">
        <v>3160</v>
      </c>
    </row>
    <row r="65" spans="1:6" x14ac:dyDescent="0.2">
      <c r="A65" s="2">
        <v>40</v>
      </c>
      <c r="B65" s="2">
        <v>665351.43857084261</v>
      </c>
      <c r="C65" s="2">
        <v>866483.56142915739</v>
      </c>
      <c r="E65" s="2">
        <v>7.0535714285714288</v>
      </c>
      <c r="F65" s="2">
        <v>3391</v>
      </c>
    </row>
    <row r="66" spans="1:6" x14ac:dyDescent="0.2">
      <c r="A66" s="2">
        <v>41</v>
      </c>
      <c r="B66" s="2">
        <v>56897.980302890261</v>
      </c>
      <c r="C66" s="2">
        <v>104572.01969710973</v>
      </c>
      <c r="E66" s="2">
        <v>7.2321428571428577</v>
      </c>
      <c r="F66" s="2">
        <v>3465</v>
      </c>
    </row>
    <row r="67" spans="1:6" x14ac:dyDescent="0.2">
      <c r="A67" s="2">
        <v>42</v>
      </c>
      <c r="B67" s="2">
        <v>765101.10231605836</v>
      </c>
      <c r="C67" s="2">
        <v>-544264.10231605836</v>
      </c>
      <c r="E67" s="2">
        <v>7.4107142857142856</v>
      </c>
      <c r="F67" s="2">
        <v>3609</v>
      </c>
    </row>
    <row r="68" spans="1:6" x14ac:dyDescent="0.2">
      <c r="A68" s="2">
        <v>43</v>
      </c>
      <c r="B68" s="2">
        <v>284048.2566469491</v>
      </c>
      <c r="C68" s="2">
        <v>2135685.7433530511</v>
      </c>
      <c r="E68" s="2">
        <v>7.5892857142857144</v>
      </c>
      <c r="F68" s="2">
        <v>3684</v>
      </c>
    </row>
    <row r="69" spans="1:6" x14ac:dyDescent="0.2">
      <c r="A69" s="2">
        <v>44</v>
      </c>
      <c r="B69" s="2">
        <v>31159.332469177883</v>
      </c>
      <c r="C69" s="2">
        <v>-17813.332469177883</v>
      </c>
      <c r="E69" s="2">
        <v>7.7678571428571432</v>
      </c>
      <c r="F69" s="2">
        <v>3808</v>
      </c>
    </row>
    <row r="70" spans="1:6" x14ac:dyDescent="0.2">
      <c r="A70" s="2">
        <v>45</v>
      </c>
      <c r="B70" s="2">
        <v>2322436.9155602846</v>
      </c>
      <c r="C70" s="2">
        <v>-1672695.9155602846</v>
      </c>
      <c r="E70" s="2">
        <v>7.9464285714285721</v>
      </c>
      <c r="F70" s="2">
        <v>3958</v>
      </c>
    </row>
    <row r="71" spans="1:6" x14ac:dyDescent="0.2">
      <c r="A71" s="2">
        <v>46</v>
      </c>
      <c r="B71" s="2">
        <v>14717.749100268098</v>
      </c>
      <c r="C71" s="2">
        <v>72545.250899731909</v>
      </c>
      <c r="E71" s="2">
        <v>8.125</v>
      </c>
      <c r="F71" s="2">
        <v>4320</v>
      </c>
    </row>
    <row r="72" spans="1:6" x14ac:dyDescent="0.2">
      <c r="A72" s="2">
        <v>47</v>
      </c>
      <c r="B72" s="2">
        <v>25180.963498317265</v>
      </c>
      <c r="C72" s="2">
        <v>-3024.9634983172655</v>
      </c>
      <c r="E72" s="2">
        <v>8.3035714285714288</v>
      </c>
      <c r="F72" s="2">
        <v>4441</v>
      </c>
    </row>
    <row r="73" spans="1:6" x14ac:dyDescent="0.2">
      <c r="A73" s="2">
        <v>48</v>
      </c>
      <c r="B73" s="2">
        <v>327207.67091136333</v>
      </c>
      <c r="C73" s="2">
        <v>-308799.67091136333</v>
      </c>
      <c r="E73" s="2">
        <v>8.4821428571428559</v>
      </c>
      <c r="F73" s="2">
        <v>4749</v>
      </c>
    </row>
    <row r="74" spans="1:6" x14ac:dyDescent="0.2">
      <c r="A74" s="2">
        <v>49</v>
      </c>
      <c r="B74" s="2">
        <v>-21255.355952542239</v>
      </c>
      <c r="C74" s="2">
        <v>35696.355952542239</v>
      </c>
      <c r="E74" s="2">
        <v>8.6607142857142847</v>
      </c>
      <c r="F74" s="2">
        <v>4760</v>
      </c>
    </row>
    <row r="75" spans="1:6" x14ac:dyDescent="0.2">
      <c r="A75" s="2">
        <v>50</v>
      </c>
      <c r="B75" s="2">
        <v>397021.86743927683</v>
      </c>
      <c r="C75" s="2">
        <v>-252710.86743927683</v>
      </c>
      <c r="E75" s="2">
        <v>8.8392857142857135</v>
      </c>
      <c r="F75" s="2">
        <v>4865</v>
      </c>
    </row>
    <row r="76" spans="1:6" x14ac:dyDescent="0.2">
      <c r="A76" s="2">
        <v>51</v>
      </c>
      <c r="B76" s="2">
        <v>19670.985562020593</v>
      </c>
      <c r="C76" s="2">
        <v>-2310.9855620205926</v>
      </c>
      <c r="E76" s="2">
        <v>9.0178571428571423</v>
      </c>
      <c r="F76" s="2">
        <v>4925</v>
      </c>
    </row>
    <row r="77" spans="1:6" x14ac:dyDescent="0.2">
      <c r="A77" s="2">
        <v>52</v>
      </c>
      <c r="B77" s="2">
        <v>197408.77204453733</v>
      </c>
      <c r="C77" s="2">
        <v>103060.22795546267</v>
      </c>
      <c r="E77" s="2">
        <v>9.1964285714285712</v>
      </c>
      <c r="F77" s="2">
        <v>5283</v>
      </c>
    </row>
    <row r="78" spans="1:6" x14ac:dyDescent="0.2">
      <c r="A78" s="2">
        <v>53</v>
      </c>
      <c r="B78" s="2">
        <v>286188.70416064805</v>
      </c>
      <c r="C78" s="2">
        <v>-58443.704160648049</v>
      </c>
      <c r="E78" s="2">
        <v>9.375</v>
      </c>
      <c r="F78" s="2">
        <v>5536</v>
      </c>
    </row>
    <row r="79" spans="1:6" x14ac:dyDescent="0.2">
      <c r="A79" s="2">
        <v>54</v>
      </c>
      <c r="B79" s="2">
        <v>44775.418157870117</v>
      </c>
      <c r="C79" s="2">
        <v>203927.58184212988</v>
      </c>
      <c r="E79" s="2">
        <v>9.5535714285714288</v>
      </c>
      <c r="F79" s="2">
        <v>5728</v>
      </c>
    </row>
    <row r="80" spans="1:6" x14ac:dyDescent="0.2">
      <c r="A80" s="2">
        <v>55</v>
      </c>
      <c r="B80" s="2">
        <v>464426.40599373123</v>
      </c>
      <c r="C80" s="2">
        <v>-361431.40599373123</v>
      </c>
      <c r="E80" s="2">
        <v>9.7321428571428559</v>
      </c>
      <c r="F80" s="2">
        <v>5798</v>
      </c>
    </row>
    <row r="81" spans="1:6" x14ac:dyDescent="0.2">
      <c r="A81" s="2">
        <v>56</v>
      </c>
      <c r="B81" s="2">
        <v>2061922.372711678</v>
      </c>
      <c r="C81" s="2">
        <v>251006.62728832196</v>
      </c>
      <c r="E81" s="2">
        <v>9.9107142857142847</v>
      </c>
      <c r="F81" s="2">
        <v>6093</v>
      </c>
    </row>
    <row r="82" spans="1:6" x14ac:dyDescent="0.2">
      <c r="A82" s="2">
        <v>57</v>
      </c>
      <c r="B82" s="2">
        <v>20874.040321424101</v>
      </c>
      <c r="C82" s="2">
        <v>-11325.040321424101</v>
      </c>
      <c r="E82" s="2">
        <v>10.089285714285714</v>
      </c>
      <c r="F82" s="2">
        <v>6351</v>
      </c>
    </row>
    <row r="83" spans="1:6" x14ac:dyDescent="0.2">
      <c r="A83" s="2">
        <v>58</v>
      </c>
      <c r="B83" s="2">
        <v>36200.919370910604</v>
      </c>
      <c r="C83" s="2">
        <v>11546.080629089396</v>
      </c>
      <c r="E83" s="2">
        <v>10.267857142857142</v>
      </c>
      <c r="F83" s="2">
        <v>6608</v>
      </c>
    </row>
    <row r="84" spans="1:6" x14ac:dyDescent="0.2">
      <c r="A84" s="2">
        <v>59</v>
      </c>
      <c r="B84" s="2">
        <v>279108.33960252808</v>
      </c>
      <c r="C84" s="2">
        <v>-180886.33960252808</v>
      </c>
      <c r="E84" s="2">
        <v>10.446428571428571</v>
      </c>
      <c r="F84" s="2">
        <v>6736</v>
      </c>
    </row>
    <row r="85" spans="1:6" x14ac:dyDescent="0.2">
      <c r="A85" s="2">
        <v>60</v>
      </c>
      <c r="B85" s="2">
        <v>1206443.9806473397</v>
      </c>
      <c r="C85" s="2">
        <v>-85145.980647339718</v>
      </c>
      <c r="E85" s="2">
        <v>10.625</v>
      </c>
      <c r="F85" s="2">
        <v>6959</v>
      </c>
    </row>
    <row r="86" spans="1:6" x14ac:dyDescent="0.2">
      <c r="A86" s="2">
        <v>61</v>
      </c>
      <c r="B86" s="2">
        <v>4195296.2578354338</v>
      </c>
      <c r="C86" s="2">
        <v>-3004521.2578354338</v>
      </c>
      <c r="E86" s="2">
        <v>10.803571428571429</v>
      </c>
      <c r="F86" s="2">
        <v>8183</v>
      </c>
    </row>
    <row r="87" spans="1:6" x14ac:dyDescent="0.2">
      <c r="A87" s="2">
        <v>62</v>
      </c>
      <c r="B87" s="2">
        <v>8951876.5443091411</v>
      </c>
      <c r="C87" s="2">
        <v>-6446064.5443091411</v>
      </c>
      <c r="E87" s="2">
        <v>10.982142857142856</v>
      </c>
      <c r="F87" s="2">
        <v>8771</v>
      </c>
    </row>
    <row r="88" spans="1:6" x14ac:dyDescent="0.2">
      <c r="A88" s="2">
        <v>63</v>
      </c>
      <c r="B88" s="2">
        <v>12002200.329842977</v>
      </c>
      <c r="C88" s="2">
        <v>-8635962.3298429772</v>
      </c>
      <c r="E88" s="2">
        <v>11.160714285714285</v>
      </c>
      <c r="F88" s="2">
        <v>9549</v>
      </c>
    </row>
    <row r="89" spans="1:6" x14ac:dyDescent="0.2">
      <c r="A89" s="2">
        <v>64</v>
      </c>
      <c r="B89" s="2">
        <v>37859.65643271411</v>
      </c>
      <c r="C89" s="2">
        <v>86923.34356728589</v>
      </c>
      <c r="E89" s="2">
        <v>11.339285714285714</v>
      </c>
      <c r="F89" s="2">
        <v>9752</v>
      </c>
    </row>
    <row r="90" spans="1:6" x14ac:dyDescent="0.2">
      <c r="A90" s="2">
        <v>65</v>
      </c>
      <c r="B90" s="2">
        <v>800898.11717407568</v>
      </c>
      <c r="C90" s="2">
        <v>-8485.1171740756836</v>
      </c>
      <c r="E90" s="2">
        <v>11.517857142857142</v>
      </c>
      <c r="F90" s="2">
        <v>9831</v>
      </c>
    </row>
    <row r="91" spans="1:6" x14ac:dyDescent="0.2">
      <c r="A91" s="2">
        <v>66</v>
      </c>
      <c r="B91" s="2">
        <v>-18557.556279131706</v>
      </c>
      <c r="C91" s="2">
        <v>68316.556279131706</v>
      </c>
      <c r="E91" s="2">
        <v>11.696428571428571</v>
      </c>
      <c r="F91" s="2">
        <v>10444</v>
      </c>
    </row>
    <row r="92" spans="1:6" x14ac:dyDescent="0.2">
      <c r="A92" s="2">
        <v>67</v>
      </c>
      <c r="B92" s="2">
        <v>153113.51079254417</v>
      </c>
      <c r="C92" s="2">
        <v>-97943.51079254417</v>
      </c>
      <c r="E92" s="2">
        <v>11.875</v>
      </c>
      <c r="F92" s="2">
        <v>10542</v>
      </c>
    </row>
    <row r="93" spans="1:6" x14ac:dyDescent="0.2">
      <c r="A93" s="2">
        <v>68</v>
      </c>
      <c r="B93" s="2">
        <v>14221417.934924155</v>
      </c>
      <c r="C93" s="2">
        <v>18720391.065075845</v>
      </c>
      <c r="E93" s="2">
        <v>12.053571428571429</v>
      </c>
      <c r="F93" s="2">
        <v>10716</v>
      </c>
    </row>
    <row r="94" spans="1:6" x14ac:dyDescent="0.2">
      <c r="A94" s="2">
        <v>69</v>
      </c>
      <c r="B94" s="2">
        <v>1884424.2200847741</v>
      </c>
      <c r="C94" s="2">
        <v>-1335842.2200847741</v>
      </c>
      <c r="E94" s="2">
        <v>12.232142857142856</v>
      </c>
      <c r="F94" s="2">
        <v>10789</v>
      </c>
    </row>
    <row r="95" spans="1:6" x14ac:dyDescent="0.2">
      <c r="A95" s="2">
        <v>70</v>
      </c>
      <c r="B95" s="2">
        <v>766937.76162815723</v>
      </c>
      <c r="C95" s="2">
        <v>-545537.76162815723</v>
      </c>
      <c r="E95" s="2">
        <v>12.410714285714285</v>
      </c>
      <c r="F95" s="2">
        <v>11018</v>
      </c>
    </row>
    <row r="96" spans="1:6" x14ac:dyDescent="0.2">
      <c r="A96" s="2">
        <v>71</v>
      </c>
      <c r="B96" s="2">
        <v>1187228.3452120356</v>
      </c>
      <c r="C96" s="2">
        <v>458026.65478796442</v>
      </c>
      <c r="E96" s="2">
        <v>12.589285714285714</v>
      </c>
      <c r="F96" s="2">
        <v>11041</v>
      </c>
    </row>
    <row r="97" spans="1:6" x14ac:dyDescent="0.2">
      <c r="A97" s="2">
        <v>72</v>
      </c>
      <c r="B97" s="2">
        <v>-37810.707225760161</v>
      </c>
      <c r="C97" s="2">
        <v>40970.707225760161</v>
      </c>
      <c r="E97" s="2">
        <v>12.767857142857142</v>
      </c>
      <c r="F97" s="2">
        <v>11927</v>
      </c>
    </row>
    <row r="98" spans="1:6" x14ac:dyDescent="0.2">
      <c r="A98" s="2">
        <v>73</v>
      </c>
      <c r="B98" s="2">
        <v>5078.7702373736429</v>
      </c>
      <c r="C98" s="2">
        <v>649.22976262635711</v>
      </c>
      <c r="E98" s="2">
        <v>12.946428571428571</v>
      </c>
      <c r="F98" s="2">
        <v>12906</v>
      </c>
    </row>
    <row r="99" spans="1:6" x14ac:dyDescent="0.2">
      <c r="A99" s="2">
        <v>74</v>
      </c>
      <c r="B99" s="2">
        <v>158838.92649046064</v>
      </c>
      <c r="C99" s="2">
        <v>57801.073509539361</v>
      </c>
      <c r="E99" s="2">
        <v>13.125</v>
      </c>
      <c r="F99" s="2">
        <v>13262</v>
      </c>
    </row>
    <row r="100" spans="1:6" x14ac:dyDescent="0.2">
      <c r="A100" s="2">
        <v>75</v>
      </c>
      <c r="B100" s="2">
        <v>-24586.760178648154</v>
      </c>
      <c r="C100" s="2">
        <v>35302.760178648154</v>
      </c>
      <c r="E100" s="2">
        <v>13.303571428571429</v>
      </c>
      <c r="F100" s="2">
        <v>13346</v>
      </c>
    </row>
    <row r="101" spans="1:6" x14ac:dyDescent="0.2">
      <c r="A101" s="2">
        <v>76</v>
      </c>
      <c r="B101" s="2">
        <v>41114.808265836298</v>
      </c>
      <c r="C101" s="2">
        <v>10056.191734163702</v>
      </c>
      <c r="E101" s="2">
        <v>13.482142857142856</v>
      </c>
      <c r="F101" s="2">
        <v>14441</v>
      </c>
    </row>
    <row r="102" spans="1:6" x14ac:dyDescent="0.2">
      <c r="A102" s="2">
        <v>77</v>
      </c>
      <c r="B102" s="2">
        <v>564340.67257191089</v>
      </c>
      <c r="C102" s="2">
        <v>-522506.67257191089</v>
      </c>
      <c r="E102" s="2">
        <v>13.660714285714285</v>
      </c>
      <c r="F102" s="2">
        <v>14753</v>
      </c>
    </row>
    <row r="103" spans="1:6" x14ac:dyDescent="0.2">
      <c r="A103" s="2">
        <v>78</v>
      </c>
      <c r="B103" s="2">
        <v>3865799.5772448927</v>
      </c>
      <c r="C103" s="2">
        <v>1309360.4227551073</v>
      </c>
      <c r="E103" s="2">
        <v>13.839285714285714</v>
      </c>
      <c r="F103" s="2">
        <v>15330</v>
      </c>
    </row>
    <row r="104" spans="1:6" x14ac:dyDescent="0.2">
      <c r="A104" s="2">
        <v>79</v>
      </c>
      <c r="B104" s="2">
        <v>-36354.088508244997</v>
      </c>
      <c r="C104" s="2">
        <v>41114.088508244997</v>
      </c>
      <c r="E104" s="2">
        <v>14.017857142857142</v>
      </c>
      <c r="F104" s="2">
        <v>15528</v>
      </c>
    </row>
    <row r="105" spans="1:6" x14ac:dyDescent="0.2">
      <c r="A105" s="2">
        <v>80</v>
      </c>
      <c r="B105" s="2">
        <v>3100078.4683029545</v>
      </c>
      <c r="C105" s="2">
        <v>1440482.5316970455</v>
      </c>
      <c r="E105" s="2">
        <v>14.196428571428571</v>
      </c>
      <c r="F105" s="2">
        <v>15555</v>
      </c>
    </row>
    <row r="106" spans="1:6" x14ac:dyDescent="0.2">
      <c r="A106" s="2">
        <v>81</v>
      </c>
      <c r="B106" s="2">
        <v>-57900.191754539817</v>
      </c>
      <c r="C106" s="2">
        <v>57969.191754539817</v>
      </c>
      <c r="E106" s="2">
        <v>14.375</v>
      </c>
      <c r="F106" s="2">
        <v>15707</v>
      </c>
    </row>
    <row r="107" spans="1:6" x14ac:dyDescent="0.2">
      <c r="A107" s="2">
        <v>82</v>
      </c>
      <c r="B107" s="2">
        <v>3795271.8596602958</v>
      </c>
      <c r="C107" s="2">
        <v>1287068.1403397042</v>
      </c>
      <c r="E107" s="2">
        <v>14.553571428571429</v>
      </c>
      <c r="F107" s="2">
        <v>15768</v>
      </c>
    </row>
    <row r="108" spans="1:6" x14ac:dyDescent="0.2">
      <c r="A108" s="2">
        <v>83</v>
      </c>
      <c r="B108" s="2">
        <v>7155.6740902527526</v>
      </c>
      <c r="C108" s="2">
        <v>52395.325909747247</v>
      </c>
      <c r="E108" s="2">
        <v>14.732142857142856</v>
      </c>
      <c r="F108" s="2">
        <v>15927</v>
      </c>
    </row>
    <row r="109" spans="1:6" x14ac:dyDescent="0.2">
      <c r="A109" s="2">
        <v>84</v>
      </c>
      <c r="B109" s="2">
        <v>213155.03925543436</v>
      </c>
      <c r="C109" s="2">
        <v>-130252.03925543436</v>
      </c>
      <c r="E109" s="2">
        <v>14.910714285714285</v>
      </c>
      <c r="F109" s="2">
        <v>16521</v>
      </c>
    </row>
    <row r="110" spans="1:6" x14ac:dyDescent="0.2">
      <c r="A110" s="2">
        <v>85</v>
      </c>
      <c r="B110" s="2">
        <v>15253720.916810706</v>
      </c>
      <c r="C110" s="2">
        <v>22889471.083189294</v>
      </c>
      <c r="E110" s="2">
        <v>15.089285714285714</v>
      </c>
      <c r="F110" s="2">
        <v>17360</v>
      </c>
    </row>
    <row r="111" spans="1:6" x14ac:dyDescent="0.2">
      <c r="A111" s="2">
        <v>86</v>
      </c>
      <c r="B111" s="2">
        <v>-37088.752233084553</v>
      </c>
      <c r="C111" s="2">
        <v>41408.752233084553</v>
      </c>
      <c r="E111" s="2">
        <v>15.267857142857142</v>
      </c>
      <c r="F111" s="2">
        <v>17413</v>
      </c>
    </row>
    <row r="112" spans="1:6" x14ac:dyDescent="0.2">
      <c r="A112" s="2">
        <v>87</v>
      </c>
      <c r="B112" s="2">
        <v>387103.9071539428</v>
      </c>
      <c r="C112" s="2">
        <v>-253760.9071539428</v>
      </c>
      <c r="E112" s="2">
        <v>15.446428571428571</v>
      </c>
      <c r="F112" s="2">
        <v>18104</v>
      </c>
    </row>
    <row r="113" spans="1:6" x14ac:dyDescent="0.2">
      <c r="A113" s="2">
        <v>88</v>
      </c>
      <c r="B113" s="2">
        <v>760895.84899647685</v>
      </c>
      <c r="C113" s="2">
        <v>24005.151003523148</v>
      </c>
      <c r="E113" s="2">
        <v>15.625</v>
      </c>
      <c r="F113" s="2">
        <v>18117</v>
      </c>
    </row>
    <row r="114" spans="1:6" x14ac:dyDescent="0.2">
      <c r="A114" s="2">
        <v>89</v>
      </c>
      <c r="B114" s="2">
        <v>330192.8859432051</v>
      </c>
      <c r="C114" s="2">
        <v>269533.1140567949</v>
      </c>
      <c r="E114" s="2">
        <v>15.803571428571429</v>
      </c>
      <c r="F114" s="2">
        <v>18203</v>
      </c>
    </row>
    <row r="115" spans="1:6" x14ac:dyDescent="0.2">
      <c r="A115" s="2">
        <v>90</v>
      </c>
      <c r="B115" s="2">
        <v>40558.066791292113</v>
      </c>
      <c r="C115" s="2">
        <v>14219.933208707887</v>
      </c>
      <c r="E115" s="2">
        <v>15.982142857142856</v>
      </c>
      <c r="F115" s="2">
        <v>18408</v>
      </c>
    </row>
    <row r="116" spans="1:6" x14ac:dyDescent="0.2">
      <c r="A116" s="2">
        <v>91</v>
      </c>
      <c r="B116" s="2">
        <v>15255190.244260386</v>
      </c>
      <c r="C116" s="2">
        <v>-10896794.244260386</v>
      </c>
      <c r="E116" s="2">
        <v>16.160714285714288</v>
      </c>
      <c r="F116" s="2">
        <v>18614</v>
      </c>
    </row>
    <row r="117" spans="1:6" x14ac:dyDescent="0.2">
      <c r="A117" s="2">
        <v>92</v>
      </c>
      <c r="B117" s="2">
        <v>575203.23817719705</v>
      </c>
      <c r="C117" s="2">
        <v>100167.76182280295</v>
      </c>
      <c r="E117" s="2">
        <v>16.339285714285715</v>
      </c>
      <c r="F117" s="2">
        <v>18776</v>
      </c>
    </row>
    <row r="118" spans="1:6" x14ac:dyDescent="0.2">
      <c r="A118" s="2">
        <v>93</v>
      </c>
      <c r="B118" s="2">
        <v>-56240.844007568834</v>
      </c>
      <c r="C118" s="2">
        <v>56244.844007568834</v>
      </c>
      <c r="E118" s="2">
        <v>16.517857142857146</v>
      </c>
      <c r="F118" s="2">
        <v>19480</v>
      </c>
    </row>
    <row r="119" spans="1:6" x14ac:dyDescent="0.2">
      <c r="A119" s="2">
        <v>94</v>
      </c>
      <c r="B119" s="2">
        <v>73301.437475308179</v>
      </c>
      <c r="C119" s="2">
        <v>26215.562524691821</v>
      </c>
      <c r="E119" s="2">
        <v>16.696428571428573</v>
      </c>
      <c r="F119" s="2">
        <v>19573</v>
      </c>
    </row>
    <row r="120" spans="1:6" x14ac:dyDescent="0.2">
      <c r="A120" s="2">
        <v>95</v>
      </c>
      <c r="B120" s="2">
        <v>164996.43908195157</v>
      </c>
      <c r="C120" s="2">
        <v>-146220.43908195157</v>
      </c>
      <c r="E120" s="2">
        <v>16.875</v>
      </c>
      <c r="F120" s="2">
        <v>19589</v>
      </c>
    </row>
    <row r="121" spans="1:6" x14ac:dyDescent="0.2">
      <c r="A121" s="2">
        <v>96</v>
      </c>
      <c r="B121" s="2">
        <v>2324273.5748723834</v>
      </c>
      <c r="C121" s="2">
        <v>-1673956.5748723834</v>
      </c>
      <c r="E121" s="2">
        <v>17.053571428571431</v>
      </c>
      <c r="F121" s="2">
        <v>19726</v>
      </c>
    </row>
    <row r="122" spans="1:6" x14ac:dyDescent="0.2">
      <c r="A122" s="2">
        <v>97</v>
      </c>
      <c r="B122" s="2">
        <v>74681.803799839603</v>
      </c>
      <c r="C122" s="2">
        <v>122893.1962001604</v>
      </c>
      <c r="E122" s="2">
        <v>17.232142857142858</v>
      </c>
      <c r="F122" s="2">
        <v>20033</v>
      </c>
    </row>
    <row r="123" spans="1:6" x14ac:dyDescent="0.2">
      <c r="A123" s="2">
        <v>98</v>
      </c>
      <c r="B123" s="2">
        <v>3410423.6678041788</v>
      </c>
      <c r="C123" s="2">
        <v>-2459474.6678041788</v>
      </c>
      <c r="E123" s="2">
        <v>17.410714285714288</v>
      </c>
      <c r="F123" s="2">
        <v>21299</v>
      </c>
    </row>
    <row r="124" spans="1:6" x14ac:dyDescent="0.2">
      <c r="A124" s="2">
        <v>99</v>
      </c>
      <c r="B124" s="2">
        <v>423081.28700292541</v>
      </c>
      <c r="C124" s="2">
        <v>-289761.28700292541</v>
      </c>
      <c r="E124" s="2">
        <v>17.589285714285715</v>
      </c>
      <c r="F124" s="2">
        <v>21400</v>
      </c>
    </row>
    <row r="125" spans="1:6" x14ac:dyDescent="0.2">
      <c r="A125" s="2">
        <v>100</v>
      </c>
      <c r="B125" s="2">
        <v>-25359.550099979573</v>
      </c>
      <c r="C125" s="2">
        <v>37286.550099979577</v>
      </c>
      <c r="E125" s="2">
        <v>17.767857142857146</v>
      </c>
      <c r="F125" s="2">
        <v>21492</v>
      </c>
    </row>
    <row r="126" spans="1:6" x14ac:dyDescent="0.2">
      <c r="A126" s="2">
        <v>101</v>
      </c>
      <c r="B126" s="2">
        <v>73984.655586324458</v>
      </c>
      <c r="C126" s="2">
        <v>689841.3444136756</v>
      </c>
      <c r="E126" s="2">
        <v>17.946428571428573</v>
      </c>
      <c r="F126" s="2">
        <v>21777</v>
      </c>
    </row>
    <row r="127" spans="1:6" x14ac:dyDescent="0.2">
      <c r="A127" s="2">
        <v>102</v>
      </c>
      <c r="B127" s="2">
        <v>106829.69612765216</v>
      </c>
      <c r="C127" s="2">
        <v>-69184.696127652162</v>
      </c>
      <c r="E127" s="2">
        <v>18.125</v>
      </c>
      <c r="F127" s="2">
        <v>22156</v>
      </c>
    </row>
    <row r="128" spans="1:6" x14ac:dyDescent="0.2">
      <c r="A128" s="2">
        <v>103</v>
      </c>
      <c r="B128" s="2">
        <v>-48894.206759173278</v>
      </c>
      <c r="C128" s="2">
        <v>75973.206759173278</v>
      </c>
      <c r="E128" s="2">
        <v>18.303571428571431</v>
      </c>
      <c r="F128" s="2">
        <v>22278</v>
      </c>
    </row>
    <row r="129" spans="1:6" x14ac:dyDescent="0.2">
      <c r="A129" s="2">
        <v>104</v>
      </c>
      <c r="B129" s="2">
        <v>1079169.8446849685</v>
      </c>
      <c r="C129" s="2">
        <v>96226.15531503153</v>
      </c>
      <c r="E129" s="2">
        <v>18.482142857142858</v>
      </c>
      <c r="F129" s="2">
        <v>22409</v>
      </c>
    </row>
    <row r="130" spans="1:6" x14ac:dyDescent="0.2">
      <c r="A130" s="2">
        <v>105</v>
      </c>
      <c r="B130" s="2">
        <v>3343.1700974189298</v>
      </c>
      <c r="C130" s="2">
        <v>75903.82990258107</v>
      </c>
      <c r="E130" s="2">
        <v>18.660714285714288</v>
      </c>
      <c r="F130" s="2">
        <v>22686</v>
      </c>
    </row>
    <row r="131" spans="1:6" x14ac:dyDescent="0.2">
      <c r="A131" s="2">
        <v>106</v>
      </c>
      <c r="B131" s="2">
        <v>-29374.783122269218</v>
      </c>
      <c r="C131" s="2">
        <v>39126.783122269218</v>
      </c>
      <c r="E131" s="2">
        <v>18.839285714285715</v>
      </c>
      <c r="F131" s="2">
        <v>23214</v>
      </c>
    </row>
    <row r="132" spans="1:6" x14ac:dyDescent="0.2">
      <c r="A132" s="2">
        <v>107</v>
      </c>
      <c r="B132" s="2">
        <v>19657.666144689174</v>
      </c>
      <c r="C132" s="2">
        <v>258235.33385531083</v>
      </c>
      <c r="E132" s="2">
        <v>19.017857142857146</v>
      </c>
      <c r="F132" s="2">
        <v>23745</v>
      </c>
    </row>
    <row r="133" spans="1:6" x14ac:dyDescent="0.2">
      <c r="A133" s="2">
        <v>108</v>
      </c>
      <c r="B133" s="2">
        <v>335656.30374701822</v>
      </c>
      <c r="C133" s="2">
        <v>-303239.30374701822</v>
      </c>
      <c r="E133" s="2">
        <v>19.196428571428573</v>
      </c>
      <c r="F133" s="2">
        <v>26101</v>
      </c>
    </row>
    <row r="134" spans="1:6" x14ac:dyDescent="0.2">
      <c r="A134" s="2">
        <v>109</v>
      </c>
      <c r="B134" s="2">
        <v>-13655.154746035034</v>
      </c>
      <c r="C134" s="2">
        <v>15471.154746035034</v>
      </c>
      <c r="E134" s="2">
        <v>19.375</v>
      </c>
      <c r="F134" s="2">
        <v>27079</v>
      </c>
    </row>
    <row r="135" spans="1:6" x14ac:dyDescent="0.2">
      <c r="A135" s="2">
        <v>110</v>
      </c>
      <c r="B135" s="2">
        <v>207288.60613337945</v>
      </c>
      <c r="C135" s="2">
        <v>191150.39386662055</v>
      </c>
      <c r="E135" s="2">
        <v>19.553571428571431</v>
      </c>
      <c r="F135" s="2">
        <v>27521</v>
      </c>
    </row>
    <row r="136" spans="1:6" x14ac:dyDescent="0.2">
      <c r="A136" s="2">
        <v>111</v>
      </c>
      <c r="B136" s="2">
        <v>311610.85506059643</v>
      </c>
      <c r="C136" s="2">
        <v>374227.14493940357</v>
      </c>
      <c r="E136" s="2">
        <v>19.732142857142858</v>
      </c>
      <c r="F136" s="2">
        <v>28413</v>
      </c>
    </row>
    <row r="137" spans="1:6" x14ac:dyDescent="0.2">
      <c r="A137" s="2">
        <v>112</v>
      </c>
      <c r="B137" s="2">
        <v>36516.805619507089</v>
      </c>
      <c r="C137" s="2">
        <v>40841.194380492911</v>
      </c>
      <c r="E137" s="2">
        <v>19.910714285714288</v>
      </c>
      <c r="F137" s="2">
        <v>28668</v>
      </c>
    </row>
    <row r="138" spans="1:6" x14ac:dyDescent="0.2">
      <c r="A138" s="2">
        <v>113</v>
      </c>
      <c r="B138" s="2">
        <v>-42598.730169381226</v>
      </c>
      <c r="C138" s="2">
        <v>42882.730169381226</v>
      </c>
      <c r="E138" s="2">
        <v>20.089285714285715</v>
      </c>
      <c r="F138" s="2">
        <v>28896</v>
      </c>
    </row>
    <row r="139" spans="1:6" x14ac:dyDescent="0.2">
      <c r="A139" s="2">
        <v>114</v>
      </c>
      <c r="B139" s="2">
        <v>318590.16044657218</v>
      </c>
      <c r="C139" s="2">
        <v>270535.83955342782</v>
      </c>
      <c r="E139" s="2">
        <v>20.267857142857146</v>
      </c>
      <c r="F139" s="2">
        <v>29578</v>
      </c>
    </row>
    <row r="140" spans="1:6" x14ac:dyDescent="0.2">
      <c r="A140" s="2">
        <v>115</v>
      </c>
      <c r="B140" s="2">
        <v>15254822.912397966</v>
      </c>
      <c r="C140" s="2">
        <v>-10898782.912397966</v>
      </c>
      <c r="E140" s="2">
        <v>20.446428571428573</v>
      </c>
      <c r="F140" s="2">
        <v>29885</v>
      </c>
    </row>
    <row r="141" spans="1:6" x14ac:dyDescent="0.2">
      <c r="A141" s="2">
        <v>116</v>
      </c>
      <c r="B141" s="2">
        <v>47714.073057228343</v>
      </c>
      <c r="C141" s="2">
        <v>45501.926942771657</v>
      </c>
      <c r="E141" s="2">
        <v>20.625</v>
      </c>
      <c r="F141" s="2">
        <v>30186</v>
      </c>
    </row>
    <row r="142" spans="1:6" x14ac:dyDescent="0.2">
      <c r="A142" s="2">
        <v>117</v>
      </c>
      <c r="B142" s="2">
        <v>29348.090621406911</v>
      </c>
      <c r="C142" s="2">
        <v>74168.909378593089</v>
      </c>
      <c r="E142" s="2">
        <v>20.803571428571431</v>
      </c>
      <c r="F142" s="2">
        <v>30289</v>
      </c>
    </row>
    <row r="143" spans="1:6" x14ac:dyDescent="0.2">
      <c r="A143" s="2">
        <v>118</v>
      </c>
      <c r="B143" s="2">
        <v>187908.97855027893</v>
      </c>
      <c r="C143" s="2">
        <v>-3473.9785502789309</v>
      </c>
      <c r="E143" s="2">
        <v>20.982142857142858</v>
      </c>
      <c r="F143" s="2">
        <v>30507</v>
      </c>
    </row>
    <row r="144" spans="1:6" x14ac:dyDescent="0.2">
      <c r="A144" s="2">
        <v>119</v>
      </c>
      <c r="B144" s="2">
        <v>132709.36138550294</v>
      </c>
      <c r="C144" s="2">
        <v>-125973.36138550294</v>
      </c>
      <c r="E144" s="2">
        <v>21.160714285714288</v>
      </c>
      <c r="F144" s="2">
        <v>31717</v>
      </c>
    </row>
    <row r="145" spans="1:6" x14ac:dyDescent="0.2">
      <c r="A145" s="2">
        <v>120</v>
      </c>
      <c r="B145" s="2">
        <v>-1064.8122516184012</v>
      </c>
      <c r="C145" s="2">
        <v>71823.812251618394</v>
      </c>
      <c r="E145" s="2">
        <v>21.339285714285715</v>
      </c>
      <c r="F145" s="2">
        <v>32417</v>
      </c>
    </row>
    <row r="146" spans="1:6" x14ac:dyDescent="0.2">
      <c r="A146" s="2">
        <v>121</v>
      </c>
      <c r="B146" s="2">
        <v>452304.4545338786</v>
      </c>
      <c r="C146" s="2">
        <v>-377116.4545338786</v>
      </c>
      <c r="E146" s="2">
        <v>21.517857142857146</v>
      </c>
      <c r="F146" s="2">
        <v>34071</v>
      </c>
    </row>
    <row r="147" spans="1:6" x14ac:dyDescent="0.2">
      <c r="A147" s="2">
        <v>122</v>
      </c>
      <c r="B147" s="2">
        <v>1213537.0539376235</v>
      </c>
      <c r="C147" s="2">
        <v>1095083.9460623765</v>
      </c>
      <c r="E147" s="2">
        <v>21.696428571428573</v>
      </c>
      <c r="F147" s="2">
        <v>34537</v>
      </c>
    </row>
    <row r="148" spans="1:6" x14ac:dyDescent="0.2">
      <c r="A148" s="2">
        <v>123</v>
      </c>
      <c r="B148" s="2">
        <v>10559320.774258088</v>
      </c>
      <c r="C148" s="2">
        <v>-7591585.7742580883</v>
      </c>
      <c r="E148" s="2">
        <v>21.875</v>
      </c>
      <c r="F148" s="2">
        <v>36442</v>
      </c>
    </row>
    <row r="149" spans="1:6" x14ac:dyDescent="0.2">
      <c r="A149" s="2">
        <v>124</v>
      </c>
      <c r="B149" s="2">
        <v>96265.422557458805</v>
      </c>
      <c r="C149" s="2">
        <v>125063.57744254119</v>
      </c>
      <c r="E149" s="2">
        <v>22.053571428571431</v>
      </c>
      <c r="F149" s="2">
        <v>37242</v>
      </c>
    </row>
    <row r="150" spans="1:6" x14ac:dyDescent="0.2">
      <c r="A150" s="2">
        <v>125</v>
      </c>
      <c r="B150" s="2">
        <v>-42966.062031801004</v>
      </c>
      <c r="C150" s="2">
        <v>42967.062031801004</v>
      </c>
      <c r="E150" s="2">
        <v>22.232142857142858</v>
      </c>
      <c r="F150" s="2">
        <v>37645</v>
      </c>
    </row>
    <row r="151" spans="1:6" x14ac:dyDescent="0.2">
      <c r="A151" s="2">
        <v>126</v>
      </c>
      <c r="B151" s="2">
        <v>333084.98071007978</v>
      </c>
      <c r="C151" s="2">
        <v>-303506.98071007978</v>
      </c>
      <c r="E151" s="2">
        <v>22.410714285714288</v>
      </c>
      <c r="F151" s="2">
        <v>37706</v>
      </c>
    </row>
    <row r="152" spans="1:6" x14ac:dyDescent="0.2">
      <c r="A152" s="2">
        <v>127</v>
      </c>
      <c r="B152" s="2">
        <v>15756.811711875122</v>
      </c>
      <c r="C152" s="2">
        <v>51183.188288124875</v>
      </c>
      <c r="E152" s="2">
        <v>22.589285714285715</v>
      </c>
      <c r="F152" s="2">
        <v>38957</v>
      </c>
    </row>
    <row r="153" spans="1:6" x14ac:dyDescent="0.2">
      <c r="A153" s="2">
        <v>128</v>
      </c>
      <c r="B153" s="2">
        <v>78811.415411604859</v>
      </c>
      <c r="C153" s="2">
        <v>29540.584588395141</v>
      </c>
      <c r="E153" s="2">
        <v>22.767857142857146</v>
      </c>
      <c r="F153" s="2">
        <v>39060</v>
      </c>
    </row>
    <row r="154" spans="1:6" x14ac:dyDescent="0.2">
      <c r="A154" s="2">
        <v>129</v>
      </c>
      <c r="B154" s="2">
        <v>49741.36335178656</v>
      </c>
      <c r="C154" s="2">
        <v>17556.63664821344</v>
      </c>
      <c r="E154" s="2">
        <v>22.946428571428573</v>
      </c>
      <c r="F154" s="2">
        <v>39278</v>
      </c>
    </row>
    <row r="155" spans="1:6" x14ac:dyDescent="0.2">
      <c r="A155" s="2">
        <v>130</v>
      </c>
      <c r="B155" s="2">
        <v>459079.80952006363</v>
      </c>
      <c r="C155" s="2">
        <v>-253511.80952006363</v>
      </c>
      <c r="E155" s="2">
        <v>23.125</v>
      </c>
      <c r="F155" s="2">
        <v>39443</v>
      </c>
    </row>
    <row r="156" spans="1:6" x14ac:dyDescent="0.2">
      <c r="A156" s="2">
        <v>131</v>
      </c>
      <c r="B156" s="2">
        <v>171241.0807430878</v>
      </c>
      <c r="C156" s="2">
        <v>-143720.0807430878</v>
      </c>
      <c r="E156" s="2">
        <v>23.303571428571431</v>
      </c>
      <c r="F156" s="2">
        <v>39576</v>
      </c>
    </row>
    <row r="157" spans="1:6" x14ac:dyDescent="0.2">
      <c r="A157" s="2">
        <v>132</v>
      </c>
      <c r="B157" s="2">
        <v>515898.81617981626</v>
      </c>
      <c r="C157" s="2">
        <v>669752.18382018374</v>
      </c>
      <c r="E157" s="2">
        <v>23.482142857142858</v>
      </c>
      <c r="F157" s="2">
        <v>39711</v>
      </c>
    </row>
    <row r="158" spans="1:6" x14ac:dyDescent="0.2">
      <c r="A158" s="2">
        <v>133</v>
      </c>
      <c r="B158" s="2">
        <v>61305.962651927592</v>
      </c>
      <c r="C158" s="2">
        <v>103774.03734807241</v>
      </c>
      <c r="E158" s="2">
        <v>23.660714285714288</v>
      </c>
      <c r="F158" s="2">
        <v>41151</v>
      </c>
    </row>
    <row r="159" spans="1:6" x14ac:dyDescent="0.2">
      <c r="A159" s="2">
        <v>134</v>
      </c>
      <c r="B159" s="2">
        <v>-42598.730169381226</v>
      </c>
      <c r="C159" s="2">
        <v>42930.730169381226</v>
      </c>
      <c r="E159" s="2">
        <v>23.839285714285715</v>
      </c>
      <c r="F159" s="2">
        <v>41537</v>
      </c>
    </row>
    <row r="160" spans="1:6" x14ac:dyDescent="0.2">
      <c r="A160" s="2">
        <v>135</v>
      </c>
      <c r="B160" s="2">
        <v>57049.874403690264</v>
      </c>
      <c r="C160" s="2">
        <v>23609.125596309736</v>
      </c>
      <c r="E160" s="2">
        <v>24.017857142857146</v>
      </c>
      <c r="F160" s="2">
        <v>41546</v>
      </c>
    </row>
    <row r="161" spans="1:6" x14ac:dyDescent="0.2">
      <c r="A161" s="2">
        <v>136</v>
      </c>
      <c r="B161" s="2">
        <v>5901552.7587753031</v>
      </c>
      <c r="C161" s="2">
        <v>-4220411.7587753031</v>
      </c>
      <c r="E161" s="2">
        <v>24.196428571428573</v>
      </c>
      <c r="F161" s="2">
        <v>41551</v>
      </c>
    </row>
    <row r="162" spans="1:6" x14ac:dyDescent="0.2">
      <c r="A162" s="2">
        <v>137</v>
      </c>
      <c r="B162" s="2">
        <v>303440.59296221368</v>
      </c>
      <c r="C162" s="2">
        <v>162408.40703778632</v>
      </c>
      <c r="E162" s="2">
        <v>24.375</v>
      </c>
      <c r="F162" s="2">
        <v>41834</v>
      </c>
    </row>
    <row r="163" spans="1:6" x14ac:dyDescent="0.2">
      <c r="A163" s="2">
        <v>138</v>
      </c>
      <c r="B163" s="2">
        <v>2716216.6720742867</v>
      </c>
      <c r="C163" s="2">
        <v>4180357.3279257133</v>
      </c>
      <c r="E163" s="2">
        <v>24.553571428571431</v>
      </c>
      <c r="F163" s="2">
        <v>42215</v>
      </c>
    </row>
    <row r="164" spans="1:6" x14ac:dyDescent="0.2">
      <c r="A164" s="2">
        <v>139</v>
      </c>
      <c r="B164" s="2">
        <v>1057713.3132489889</v>
      </c>
      <c r="C164" s="2">
        <v>1218609.6867510111</v>
      </c>
      <c r="E164" s="2">
        <v>24.732142857142858</v>
      </c>
      <c r="F164" s="2">
        <v>43551</v>
      </c>
    </row>
    <row r="165" spans="1:6" x14ac:dyDescent="0.2">
      <c r="A165" s="2">
        <v>140</v>
      </c>
      <c r="B165" s="2">
        <v>150517.99166161276</v>
      </c>
      <c r="C165" s="2">
        <v>-60200.991661612759</v>
      </c>
      <c r="E165" s="2">
        <v>24.910714285714288</v>
      </c>
      <c r="F165" s="2">
        <v>43702</v>
      </c>
    </row>
    <row r="166" spans="1:6" x14ac:dyDescent="0.2">
      <c r="A166" s="2">
        <v>141</v>
      </c>
      <c r="B166" s="2">
        <v>88551.453446643471</v>
      </c>
      <c r="C166" s="2">
        <v>88745.546553356529</v>
      </c>
      <c r="E166" s="2">
        <v>25.089285714285715</v>
      </c>
      <c r="F166" s="2">
        <v>44534</v>
      </c>
    </row>
    <row r="167" spans="1:6" x14ac:dyDescent="0.2">
      <c r="A167" s="2">
        <v>142</v>
      </c>
      <c r="B167" s="2">
        <v>476189.45952715585</v>
      </c>
      <c r="C167" s="2">
        <v>32327.54047284415</v>
      </c>
      <c r="E167" s="2">
        <v>25.267857142857146</v>
      </c>
      <c r="F167" s="2">
        <v>46029</v>
      </c>
    </row>
    <row r="168" spans="1:6" x14ac:dyDescent="0.2">
      <c r="A168" s="2">
        <v>143</v>
      </c>
      <c r="B168" s="2">
        <v>90895.851360133121</v>
      </c>
      <c r="C168" s="2">
        <v>-23751.851360133121</v>
      </c>
      <c r="E168" s="2">
        <v>25.446428571428573</v>
      </c>
      <c r="F168" s="2">
        <v>46180</v>
      </c>
    </row>
    <row r="169" spans="1:6" x14ac:dyDescent="0.2">
      <c r="A169" s="2">
        <v>144</v>
      </c>
      <c r="B169" s="2">
        <v>151124.95737964529</v>
      </c>
      <c r="C169" s="2">
        <v>14859.04262035471</v>
      </c>
      <c r="E169" s="2">
        <v>25.625</v>
      </c>
      <c r="F169" s="2">
        <v>46339</v>
      </c>
    </row>
    <row r="170" spans="1:6" x14ac:dyDescent="0.2">
      <c r="A170" s="2">
        <v>145</v>
      </c>
      <c r="B170" s="2">
        <v>67056.795814171957</v>
      </c>
      <c r="C170" s="2">
        <v>29352.204185828043</v>
      </c>
      <c r="E170" s="2">
        <v>25.803571428571431</v>
      </c>
      <c r="F170" s="2">
        <v>47747</v>
      </c>
    </row>
    <row r="171" spans="1:6" x14ac:dyDescent="0.2">
      <c r="A171" s="2">
        <v>146</v>
      </c>
      <c r="B171" s="2">
        <v>-22420.895200621348</v>
      </c>
      <c r="C171" s="2">
        <v>43719.895200621351</v>
      </c>
      <c r="E171" s="2">
        <v>25.982142857142858</v>
      </c>
      <c r="F171" s="2">
        <v>47792</v>
      </c>
    </row>
    <row r="172" spans="1:6" x14ac:dyDescent="0.2">
      <c r="A172" s="2">
        <v>147</v>
      </c>
      <c r="B172" s="2">
        <v>305201.61056649627</v>
      </c>
      <c r="C172" s="2">
        <v>247705.38943350373</v>
      </c>
      <c r="E172" s="2">
        <v>26.160714285714288</v>
      </c>
      <c r="F172" s="2">
        <v>47934</v>
      </c>
    </row>
    <row r="173" spans="1:6" x14ac:dyDescent="0.2">
      <c r="A173" s="2">
        <v>148</v>
      </c>
      <c r="B173" s="2">
        <v>7025220.9259174038</v>
      </c>
      <c r="C173" s="2">
        <v>-5049166.9259174038</v>
      </c>
      <c r="E173" s="2">
        <v>26.339285714285715</v>
      </c>
      <c r="F173" s="2">
        <v>48012</v>
      </c>
    </row>
    <row r="174" spans="1:6" x14ac:dyDescent="0.2">
      <c r="A174" s="2">
        <v>149</v>
      </c>
      <c r="B174" s="2">
        <v>3976.774650114312</v>
      </c>
      <c r="C174" s="2">
        <v>888.22534988568805</v>
      </c>
      <c r="E174" s="2">
        <v>26.517857142857146</v>
      </c>
      <c r="F174" s="2">
        <v>48361</v>
      </c>
    </row>
    <row r="175" spans="1:6" x14ac:dyDescent="0.2">
      <c r="A175" s="2">
        <v>150</v>
      </c>
      <c r="B175" s="2">
        <v>9119.420723991203</v>
      </c>
      <c r="C175" s="2">
        <v>-2511.420723991203</v>
      </c>
      <c r="E175" s="2">
        <v>26.696428571428573</v>
      </c>
      <c r="F175" s="2">
        <v>48546</v>
      </c>
    </row>
    <row r="176" spans="1:6" x14ac:dyDescent="0.2">
      <c r="A176" s="2">
        <v>151</v>
      </c>
      <c r="B176" s="2">
        <v>397873.35249426181</v>
      </c>
      <c r="C176" s="2">
        <v>-265570.35249426181</v>
      </c>
      <c r="E176" s="2">
        <v>26.875</v>
      </c>
      <c r="F176" s="2">
        <v>48647</v>
      </c>
    </row>
    <row r="177" spans="1:6" x14ac:dyDescent="0.2">
      <c r="A177" s="2">
        <v>152</v>
      </c>
      <c r="B177" s="2">
        <v>-40394.738994862557</v>
      </c>
      <c r="C177" s="2">
        <v>42463.738994862557</v>
      </c>
      <c r="E177" s="2">
        <v>27.053571428571431</v>
      </c>
      <c r="F177" s="2">
        <v>48935</v>
      </c>
    </row>
    <row r="178" spans="1:6" x14ac:dyDescent="0.2">
      <c r="A178" s="2">
        <v>153</v>
      </c>
      <c r="B178" s="2">
        <v>1032367.4147420241</v>
      </c>
      <c r="C178" s="2">
        <v>1319374.5852579759</v>
      </c>
      <c r="E178" s="2">
        <v>27.232142857142858</v>
      </c>
      <c r="F178" s="2">
        <v>49631</v>
      </c>
    </row>
    <row r="179" spans="1:6" x14ac:dyDescent="0.2">
      <c r="A179" s="2">
        <v>154</v>
      </c>
      <c r="B179" s="2">
        <v>3806659.1473953086</v>
      </c>
      <c r="C179" s="2">
        <v>1290372.8526046914</v>
      </c>
      <c r="E179" s="2">
        <v>27.410714285714288</v>
      </c>
      <c r="F179" s="2">
        <v>49759</v>
      </c>
    </row>
    <row r="180" spans="1:6" x14ac:dyDescent="0.2">
      <c r="A180" s="2">
        <v>155</v>
      </c>
      <c r="B180" s="2">
        <v>87943.87704344347</v>
      </c>
      <c r="C180" s="2">
        <v>42572.12295655653</v>
      </c>
      <c r="E180" s="2">
        <v>27.589285714285715</v>
      </c>
      <c r="F180" s="2">
        <v>50202</v>
      </c>
    </row>
    <row r="181" spans="1:6" x14ac:dyDescent="0.2">
      <c r="A181" s="2">
        <v>156</v>
      </c>
      <c r="B181" s="2">
        <v>32109.433955637222</v>
      </c>
      <c r="C181" s="2">
        <v>21500.566044362778</v>
      </c>
      <c r="E181" s="2">
        <v>27.767857142857146</v>
      </c>
      <c r="F181" s="2">
        <v>50827</v>
      </c>
    </row>
    <row r="182" spans="1:6" x14ac:dyDescent="0.2">
      <c r="A182" s="2">
        <v>157</v>
      </c>
      <c r="B182" s="2">
        <v>351701.47367817548</v>
      </c>
      <c r="C182" s="2">
        <v>425228.52632182452</v>
      </c>
      <c r="E182" s="2">
        <v>27.946428571428573</v>
      </c>
      <c r="F182" s="2">
        <v>51171</v>
      </c>
    </row>
    <row r="183" spans="1:6" x14ac:dyDescent="0.2">
      <c r="A183" s="2">
        <v>158</v>
      </c>
      <c r="B183" s="2">
        <v>-59559.539501510793</v>
      </c>
      <c r="C183" s="2">
        <v>59570.539501510793</v>
      </c>
      <c r="E183" s="2">
        <v>28.125</v>
      </c>
      <c r="F183" s="2">
        <v>51465</v>
      </c>
    </row>
    <row r="184" spans="1:6" x14ac:dyDescent="0.2">
      <c r="A184" s="2">
        <v>159</v>
      </c>
      <c r="B184" s="2">
        <v>141447.24163509152</v>
      </c>
      <c r="C184" s="2">
        <v>86004.758364908485</v>
      </c>
      <c r="E184" s="2">
        <v>28.303571428571431</v>
      </c>
      <c r="F184" s="2">
        <v>52370</v>
      </c>
    </row>
    <row r="185" spans="1:6" x14ac:dyDescent="0.2">
      <c r="A185" s="2">
        <v>160</v>
      </c>
      <c r="B185" s="2">
        <v>344104.93658267311</v>
      </c>
      <c r="C185" s="2">
        <v>-297765.93658267311</v>
      </c>
      <c r="E185" s="2">
        <v>28.482142857142858</v>
      </c>
      <c r="F185" s="2">
        <v>52390</v>
      </c>
    </row>
    <row r="186" spans="1:6" x14ac:dyDescent="0.2">
      <c r="A186" s="2">
        <v>161</v>
      </c>
      <c r="B186" s="2">
        <v>5169460.3569726851</v>
      </c>
      <c r="C186" s="2">
        <v>1459234.6430273149</v>
      </c>
      <c r="E186" s="2">
        <v>28.660714285714288</v>
      </c>
      <c r="F186" s="2">
        <v>53610</v>
      </c>
    </row>
    <row r="187" spans="1:6" x14ac:dyDescent="0.2">
      <c r="A187" s="2">
        <v>162</v>
      </c>
      <c r="B187" s="2">
        <v>3072845.6862404025</v>
      </c>
      <c r="C187" s="2">
        <v>321554.31375959748</v>
      </c>
      <c r="E187" s="2">
        <v>28.839285714285715</v>
      </c>
      <c r="F187" s="2">
        <v>53960</v>
      </c>
    </row>
    <row r="188" spans="1:6" x14ac:dyDescent="0.2">
      <c r="A188" s="2">
        <v>163</v>
      </c>
      <c r="B188" s="2">
        <v>23255.343061070678</v>
      </c>
      <c r="C188" s="2">
        <v>31034.656938929322</v>
      </c>
      <c r="E188" s="2">
        <v>29.017857142857146</v>
      </c>
      <c r="F188" s="2">
        <v>54290</v>
      </c>
    </row>
    <row r="189" spans="1:6" x14ac:dyDescent="0.2">
      <c r="A189" s="2">
        <v>164</v>
      </c>
      <c r="B189" s="2">
        <v>192684.29276173605</v>
      </c>
      <c r="C189" s="2">
        <v>17087.707238263945</v>
      </c>
      <c r="E189" s="2">
        <v>29.196428571428573</v>
      </c>
      <c r="F189" s="2">
        <v>54483</v>
      </c>
    </row>
    <row r="190" spans="1:6" x14ac:dyDescent="0.2">
      <c r="A190" s="2">
        <v>165</v>
      </c>
      <c r="B190" s="2">
        <v>3820985.0900296802</v>
      </c>
      <c r="C190" s="2">
        <v>1294945.9099703198</v>
      </c>
      <c r="E190" s="2">
        <v>29.375</v>
      </c>
      <c r="F190" s="2">
        <v>54706</v>
      </c>
    </row>
    <row r="191" spans="1:6" x14ac:dyDescent="0.2">
      <c r="A191" s="2">
        <v>166</v>
      </c>
      <c r="B191" s="2">
        <v>203693.37195766781</v>
      </c>
      <c r="C191" s="2">
        <v>-164117.37195766781</v>
      </c>
      <c r="E191" s="2">
        <v>29.553571428571431</v>
      </c>
      <c r="F191" s="2">
        <v>54778</v>
      </c>
    </row>
    <row r="192" spans="1:6" x14ac:dyDescent="0.2">
      <c r="A192" s="2">
        <v>167</v>
      </c>
      <c r="B192" s="2">
        <v>-3129.6180575010294</v>
      </c>
      <c r="C192" s="2">
        <v>79009.618057501037</v>
      </c>
      <c r="E192" s="2">
        <v>29.732142857142858</v>
      </c>
      <c r="F192" s="2">
        <v>54874</v>
      </c>
    </row>
    <row r="193" spans="1:6" x14ac:dyDescent="0.2">
      <c r="A193" s="2">
        <v>168</v>
      </c>
      <c r="B193" s="2">
        <v>-38190.747820343888</v>
      </c>
      <c r="C193" s="2">
        <v>41655.747820343888</v>
      </c>
      <c r="E193" s="2">
        <v>29.910714285714288</v>
      </c>
      <c r="F193" s="2">
        <v>55170</v>
      </c>
    </row>
    <row r="194" spans="1:6" x14ac:dyDescent="0.2">
      <c r="A194" s="2">
        <v>169</v>
      </c>
      <c r="B194" s="2">
        <v>-10995.481269116368</v>
      </c>
      <c r="C194" s="2">
        <v>54697.481269116368</v>
      </c>
      <c r="E194" s="2">
        <v>30.089285714285715</v>
      </c>
      <c r="F194" s="2">
        <v>55751</v>
      </c>
    </row>
    <row r="195" spans="1:6" x14ac:dyDescent="0.2">
      <c r="A195" s="2">
        <v>170</v>
      </c>
      <c r="B195" s="2">
        <v>4269245.5621416196</v>
      </c>
      <c r="C195" s="2">
        <v>-3094262.5621416196</v>
      </c>
      <c r="E195" s="2">
        <v>30.267857142857146</v>
      </c>
      <c r="F195" s="2">
        <v>55793</v>
      </c>
    </row>
    <row r="196" spans="1:6" x14ac:dyDescent="0.2">
      <c r="A196" s="2">
        <v>171</v>
      </c>
      <c r="B196" s="2">
        <v>89007.746434210945</v>
      </c>
      <c r="C196" s="2">
        <v>54510.253565789055</v>
      </c>
      <c r="E196" s="2">
        <v>30.446428571428573</v>
      </c>
      <c r="F196" s="2">
        <v>56298</v>
      </c>
    </row>
    <row r="197" spans="1:6" x14ac:dyDescent="0.2">
      <c r="A197" s="2">
        <v>172</v>
      </c>
      <c r="B197" s="2">
        <v>727849.30079602823</v>
      </c>
      <c r="C197" s="2">
        <v>849221.69920397177</v>
      </c>
      <c r="E197" s="2">
        <v>30.625</v>
      </c>
      <c r="F197" s="2">
        <v>56539</v>
      </c>
    </row>
    <row r="198" spans="1:6" x14ac:dyDescent="0.2">
      <c r="A198" s="2">
        <v>173</v>
      </c>
      <c r="B198" s="2">
        <v>369083.503227218</v>
      </c>
      <c r="C198" s="2">
        <v>-299482.503227218</v>
      </c>
      <c r="E198" s="2">
        <v>30.803571428571431</v>
      </c>
      <c r="F198" s="2">
        <v>58515</v>
      </c>
    </row>
    <row r="199" spans="1:6" x14ac:dyDescent="0.2">
      <c r="A199" s="2">
        <v>174</v>
      </c>
      <c r="B199" s="2">
        <v>-963.75307947422698</v>
      </c>
      <c r="C199" s="2">
        <v>16890.753079474227</v>
      </c>
      <c r="E199" s="2">
        <v>30.982142857142858</v>
      </c>
      <c r="F199" s="2">
        <v>59052</v>
      </c>
    </row>
    <row r="200" spans="1:6" x14ac:dyDescent="0.2">
      <c r="A200" s="2">
        <v>175</v>
      </c>
      <c r="B200" s="2">
        <v>2312151.6234125309</v>
      </c>
      <c r="C200" s="2">
        <v>-1665180.6234125309</v>
      </c>
      <c r="E200" s="2">
        <v>31.160714285714288</v>
      </c>
      <c r="F200" s="2">
        <v>59456</v>
      </c>
    </row>
    <row r="201" spans="1:6" x14ac:dyDescent="0.2">
      <c r="A201" s="2">
        <v>176</v>
      </c>
      <c r="B201" s="2">
        <v>4201289.1675939607</v>
      </c>
      <c r="C201" s="2">
        <v>-3046386.1675939607</v>
      </c>
      <c r="E201" s="2">
        <v>31.339285714285715</v>
      </c>
      <c r="F201" s="2">
        <v>59492</v>
      </c>
    </row>
    <row r="202" spans="1:6" x14ac:dyDescent="0.2">
      <c r="A202" s="2">
        <v>177</v>
      </c>
      <c r="B202" s="2">
        <v>142359.21692505898</v>
      </c>
      <c r="C202" s="2">
        <v>178336.78307494102</v>
      </c>
      <c r="E202" s="2">
        <v>31.517857142857146</v>
      </c>
      <c r="F202" s="2">
        <v>59502</v>
      </c>
    </row>
    <row r="203" spans="1:6" x14ac:dyDescent="0.2">
      <c r="A203" s="2">
        <v>178</v>
      </c>
      <c r="B203" s="2">
        <v>19860.395174144986</v>
      </c>
      <c r="C203" s="2">
        <v>17845.604825855014</v>
      </c>
      <c r="E203" s="2">
        <v>31.696428571428573</v>
      </c>
      <c r="F203" s="2">
        <v>59551</v>
      </c>
    </row>
    <row r="204" spans="1:6" x14ac:dyDescent="0.2">
      <c r="A204" s="2">
        <v>179</v>
      </c>
      <c r="B204" s="2">
        <v>468664.28934329748</v>
      </c>
      <c r="C204" s="2">
        <v>94510.710656702518</v>
      </c>
      <c r="E204" s="2">
        <v>31.875</v>
      </c>
      <c r="F204" s="2">
        <v>59602</v>
      </c>
    </row>
    <row r="205" spans="1:6" x14ac:dyDescent="0.2">
      <c r="A205" s="2">
        <v>180</v>
      </c>
      <c r="B205" s="2">
        <v>656173.6381768554</v>
      </c>
      <c r="C205" s="2">
        <v>-77399.638176855398</v>
      </c>
      <c r="E205" s="2">
        <v>32.053571428571431</v>
      </c>
      <c r="F205" s="2">
        <v>59622</v>
      </c>
    </row>
    <row r="206" spans="1:6" x14ac:dyDescent="0.2">
      <c r="A206" s="2">
        <v>181</v>
      </c>
      <c r="B206" s="2">
        <v>-57165.528029700261</v>
      </c>
      <c r="C206" s="2">
        <v>76891.528029700261</v>
      </c>
      <c r="E206" s="2">
        <v>32.232142857142861</v>
      </c>
      <c r="F206" s="2">
        <v>61692</v>
      </c>
    </row>
    <row r="207" spans="1:6" x14ac:dyDescent="0.2">
      <c r="A207" s="2">
        <v>182</v>
      </c>
      <c r="B207" s="2">
        <v>13615.753513008764</v>
      </c>
      <c r="C207" s="2">
        <v>55556.246486991236</v>
      </c>
      <c r="E207" s="2">
        <v>32.410714285714285</v>
      </c>
      <c r="F207" s="2">
        <v>63097</v>
      </c>
    </row>
    <row r="208" spans="1:6" x14ac:dyDescent="0.2">
      <c r="A208" s="2">
        <v>183</v>
      </c>
      <c r="B208" s="2">
        <v>58760.057079317055</v>
      </c>
      <c r="C208" s="2">
        <v>56233.942920682945</v>
      </c>
      <c r="E208" s="2">
        <v>32.589285714285715</v>
      </c>
      <c r="F208" s="2">
        <v>63338</v>
      </c>
    </row>
    <row r="209" spans="1:6" x14ac:dyDescent="0.2">
      <c r="A209" s="2">
        <v>184</v>
      </c>
      <c r="B209" s="2">
        <v>-31173.316237876243</v>
      </c>
      <c r="C209" s="2">
        <v>33711.316237876243</v>
      </c>
      <c r="E209" s="2">
        <v>32.767857142857146</v>
      </c>
      <c r="F209" s="2">
        <v>64790</v>
      </c>
    </row>
    <row r="210" spans="1:6" x14ac:dyDescent="0.2">
      <c r="A210" s="2">
        <v>185</v>
      </c>
      <c r="B210" s="2">
        <v>4600463.3020844487</v>
      </c>
      <c r="C210" s="2">
        <v>1301207.6979155513</v>
      </c>
      <c r="E210" s="2">
        <v>32.946428571428577</v>
      </c>
      <c r="F210" s="2">
        <v>64825</v>
      </c>
    </row>
    <row r="211" spans="1:6" x14ac:dyDescent="0.2">
      <c r="A211" s="2">
        <v>186</v>
      </c>
      <c r="B211" s="2">
        <v>48081.404919648128</v>
      </c>
      <c r="C211" s="2">
        <v>73912.595080351864</v>
      </c>
      <c r="E211" s="2">
        <v>33.125</v>
      </c>
      <c r="F211" s="2">
        <v>66940</v>
      </c>
    </row>
    <row r="212" spans="1:6" x14ac:dyDescent="0.2">
      <c r="A212" s="2">
        <v>187</v>
      </c>
      <c r="B212" s="2">
        <v>152354.65097371166</v>
      </c>
      <c r="C212" s="2">
        <v>-60238.650973711658</v>
      </c>
      <c r="E212" s="2">
        <v>33.303571428571431</v>
      </c>
      <c r="F212" s="2">
        <v>66953</v>
      </c>
    </row>
    <row r="213" spans="1:6" x14ac:dyDescent="0.2">
      <c r="A213" s="2">
        <v>188</v>
      </c>
      <c r="B213" s="2">
        <v>6094034.6546832668</v>
      </c>
      <c r="C213" s="2">
        <v>-4359145.6546832668</v>
      </c>
      <c r="E213" s="2">
        <v>33.482142857142861</v>
      </c>
      <c r="F213" s="2">
        <v>67144</v>
      </c>
    </row>
    <row r="214" spans="1:6" x14ac:dyDescent="0.2">
      <c r="A214" s="2">
        <v>189</v>
      </c>
      <c r="B214" s="2">
        <v>-42231.398306961448</v>
      </c>
      <c r="C214" s="2">
        <v>42867.398306961448</v>
      </c>
      <c r="E214" s="2">
        <v>33.660714285714285</v>
      </c>
      <c r="F214" s="2">
        <v>67298</v>
      </c>
    </row>
    <row r="215" spans="1:6" x14ac:dyDescent="0.2">
      <c r="A215" s="2">
        <v>190</v>
      </c>
      <c r="B215" s="2">
        <v>24357.338648330013</v>
      </c>
      <c r="C215" s="2">
        <v>31393.661351669987</v>
      </c>
      <c r="E215" s="2">
        <v>33.839285714285715</v>
      </c>
      <c r="F215" s="2">
        <v>67367</v>
      </c>
    </row>
    <row r="216" spans="1:6" x14ac:dyDescent="0.2">
      <c r="A216" s="2">
        <v>191</v>
      </c>
      <c r="B216" s="2">
        <v>25092.002373169569</v>
      </c>
      <c r="C216" s="2">
        <v>63550.997626830431</v>
      </c>
      <c r="E216" s="2">
        <v>34.017857142857146</v>
      </c>
      <c r="F216" s="2">
        <v>67642</v>
      </c>
    </row>
    <row r="217" spans="1:6" x14ac:dyDescent="0.2">
      <c r="A217" s="2">
        <v>192</v>
      </c>
      <c r="B217" s="2">
        <v>-42598.730169381226</v>
      </c>
      <c r="C217" s="2">
        <v>42878.730169381226</v>
      </c>
      <c r="E217" s="2">
        <v>34.196428571428577</v>
      </c>
      <c r="F217" s="2">
        <v>67938</v>
      </c>
    </row>
    <row r="218" spans="1:6" x14ac:dyDescent="0.2">
      <c r="A218" s="2">
        <v>193</v>
      </c>
      <c r="B218" s="2">
        <v>300071.67322478333</v>
      </c>
      <c r="C218" s="2">
        <v>88037.326775216672</v>
      </c>
      <c r="E218" s="2">
        <v>34.375</v>
      </c>
      <c r="F218" s="2">
        <v>68020</v>
      </c>
    </row>
    <row r="219" spans="1:6" x14ac:dyDescent="0.2">
      <c r="A219" s="2">
        <v>194</v>
      </c>
      <c r="B219" s="2">
        <v>2320548.8106343625</v>
      </c>
      <c r="C219" s="2">
        <v>2021946.1893656375</v>
      </c>
      <c r="E219" s="2">
        <v>34.553571428571431</v>
      </c>
      <c r="F219" s="2">
        <v>69172</v>
      </c>
    </row>
    <row r="220" spans="1:6" x14ac:dyDescent="0.2">
      <c r="A220" s="2">
        <v>195</v>
      </c>
      <c r="B220" s="2">
        <v>384511.44144884869</v>
      </c>
      <c r="C220" s="2">
        <v>-274488.44144884869</v>
      </c>
      <c r="E220" s="2">
        <v>34.732142857142861</v>
      </c>
      <c r="F220" s="2">
        <v>69601</v>
      </c>
    </row>
    <row r="221" spans="1:6" x14ac:dyDescent="0.2">
      <c r="A221" s="2">
        <v>196</v>
      </c>
      <c r="B221" s="2">
        <v>-45575.511265231311</v>
      </c>
      <c r="C221" s="2">
        <v>56019.511265231311</v>
      </c>
      <c r="E221" s="2">
        <v>34.910714285714285</v>
      </c>
      <c r="F221" s="2">
        <v>69962</v>
      </c>
    </row>
    <row r="222" spans="1:6" x14ac:dyDescent="0.2">
      <c r="A222" s="2">
        <v>197</v>
      </c>
      <c r="B222" s="2">
        <v>78963.309512404841</v>
      </c>
      <c r="C222" s="2">
        <v>75033.690487595159</v>
      </c>
      <c r="E222" s="2">
        <v>35.089285714285715</v>
      </c>
      <c r="F222" s="2">
        <v>70295</v>
      </c>
    </row>
    <row r="223" spans="1:6" x14ac:dyDescent="0.2">
      <c r="A223" s="2">
        <v>198</v>
      </c>
      <c r="B223" s="2">
        <v>284428.29724153283</v>
      </c>
      <c r="C223" s="2">
        <v>460531.70275846717</v>
      </c>
      <c r="E223" s="2">
        <v>35.267857142857146</v>
      </c>
      <c r="F223" s="2">
        <v>70587</v>
      </c>
    </row>
    <row r="224" spans="1:6" x14ac:dyDescent="0.2">
      <c r="A224" s="2">
        <v>199</v>
      </c>
      <c r="B224" s="2">
        <v>387450.09634820692</v>
      </c>
      <c r="C224" s="2">
        <v>-301681.09634820692</v>
      </c>
      <c r="E224" s="2">
        <v>35.446428571428577</v>
      </c>
      <c r="F224" s="2">
        <v>70759</v>
      </c>
    </row>
    <row r="225" spans="1:6" x14ac:dyDescent="0.2">
      <c r="A225" s="2">
        <v>200</v>
      </c>
      <c r="B225" s="2">
        <v>588630.52493893227</v>
      </c>
      <c r="C225" s="2">
        <v>825786.47506106773</v>
      </c>
      <c r="E225" s="2">
        <v>35.625</v>
      </c>
      <c r="F225" s="2">
        <v>73151</v>
      </c>
    </row>
    <row r="226" spans="1:6" x14ac:dyDescent="0.2">
      <c r="A226" s="2">
        <v>201</v>
      </c>
      <c r="B226" s="2">
        <v>179105.11189920074</v>
      </c>
      <c r="C226" s="2">
        <v>38781.88810079926</v>
      </c>
      <c r="E226" s="2">
        <v>35.803571428571431</v>
      </c>
      <c r="F226" s="2">
        <v>73321</v>
      </c>
    </row>
    <row r="227" spans="1:6" x14ac:dyDescent="0.2">
      <c r="A227" s="2">
        <v>202</v>
      </c>
      <c r="B227" s="2">
        <v>22784277.049689099</v>
      </c>
      <c r="C227" s="2">
        <v>-16696925.049689099</v>
      </c>
      <c r="E227" s="2">
        <v>35.982142857142861</v>
      </c>
      <c r="F227" s="2">
        <v>73915</v>
      </c>
    </row>
    <row r="228" spans="1:6" x14ac:dyDescent="0.2">
      <c r="A228" s="2">
        <v>203</v>
      </c>
      <c r="B228" s="2">
        <v>26599.456019340549</v>
      </c>
      <c r="C228" s="2">
        <v>14551.543980659451</v>
      </c>
      <c r="E228" s="2">
        <v>36.160714285714285</v>
      </c>
      <c r="F228" s="2">
        <v>75188</v>
      </c>
    </row>
    <row r="229" spans="1:6" x14ac:dyDescent="0.2">
      <c r="A229" s="2">
        <v>204</v>
      </c>
      <c r="B229" s="2">
        <v>10955.469350922627</v>
      </c>
      <c r="C229" s="2">
        <v>135500.53064907738</v>
      </c>
      <c r="E229" s="2">
        <v>36.339285714285715</v>
      </c>
      <c r="F229" s="2">
        <v>75880</v>
      </c>
    </row>
    <row r="230" spans="1:6" x14ac:dyDescent="0.2">
      <c r="A230" s="2">
        <v>205</v>
      </c>
      <c r="B230" s="2">
        <v>239651.93622281181</v>
      </c>
      <c r="C230" s="2">
        <v>129354.06377718819</v>
      </c>
      <c r="E230" s="2">
        <v>36.517857142857146</v>
      </c>
      <c r="F230" s="2">
        <v>76037</v>
      </c>
    </row>
    <row r="231" spans="1:6" x14ac:dyDescent="0.2">
      <c r="A231" s="2">
        <v>206</v>
      </c>
      <c r="B231" s="2">
        <v>493445.6231248937</v>
      </c>
      <c r="C231" s="2">
        <v>-331038.6231248937</v>
      </c>
      <c r="E231" s="2">
        <v>36.696428571428577</v>
      </c>
      <c r="F231" s="2">
        <v>77358</v>
      </c>
    </row>
    <row r="232" spans="1:6" x14ac:dyDescent="0.2">
      <c r="A232" s="2">
        <v>207</v>
      </c>
      <c r="B232" s="2">
        <v>421176.80923383444</v>
      </c>
      <c r="C232" s="2">
        <v>91306.190766165557</v>
      </c>
      <c r="E232" s="2">
        <v>36.875</v>
      </c>
      <c r="F232" s="2">
        <v>79247</v>
      </c>
    </row>
    <row r="233" spans="1:6" x14ac:dyDescent="0.2">
      <c r="A233" s="2">
        <v>208</v>
      </c>
      <c r="B233" s="2">
        <v>936277.75020367489</v>
      </c>
      <c r="C233" s="2">
        <v>-28483.750203674892</v>
      </c>
      <c r="E233" s="2">
        <v>37.053571428571431</v>
      </c>
      <c r="F233" s="2">
        <v>79632</v>
      </c>
    </row>
    <row r="234" spans="1:6" x14ac:dyDescent="0.2">
      <c r="A234" s="2">
        <v>209</v>
      </c>
      <c r="B234" s="2">
        <v>73757.119777708169</v>
      </c>
      <c r="C234" s="2">
        <v>27731.880222291831</v>
      </c>
      <c r="E234" s="2">
        <v>37.232142857142861</v>
      </c>
      <c r="F234" s="2">
        <v>79850</v>
      </c>
    </row>
    <row r="235" spans="1:6" x14ac:dyDescent="0.2">
      <c r="A235" s="2">
        <v>210</v>
      </c>
      <c r="B235" s="2">
        <v>419061.77918446349</v>
      </c>
      <c r="C235" s="2">
        <v>-265547.77918446349</v>
      </c>
      <c r="E235" s="2">
        <v>37.410714285714285</v>
      </c>
      <c r="F235" s="2">
        <v>80659</v>
      </c>
    </row>
    <row r="236" spans="1:6" x14ac:dyDescent="0.2">
      <c r="A236" s="2">
        <v>211</v>
      </c>
      <c r="B236" s="2">
        <v>139344.92031788448</v>
      </c>
      <c r="C236" s="2">
        <v>81782.079682115524</v>
      </c>
      <c r="E236" s="2">
        <v>37.589285714285715</v>
      </c>
      <c r="F236" s="2">
        <v>80743</v>
      </c>
    </row>
    <row r="237" spans="1:6" x14ac:dyDescent="0.2">
      <c r="A237" s="2">
        <v>212</v>
      </c>
      <c r="B237" s="2">
        <v>327207.67091136333</v>
      </c>
      <c r="C237" s="2">
        <v>-307618.67091136333</v>
      </c>
      <c r="E237" s="2">
        <v>37.767857142857146</v>
      </c>
      <c r="F237" s="2">
        <v>81239</v>
      </c>
    </row>
    <row r="238" spans="1:6" x14ac:dyDescent="0.2">
      <c r="A238" s="2">
        <v>213</v>
      </c>
      <c r="B238" s="2">
        <v>137446.54940046821</v>
      </c>
      <c r="C238" s="2">
        <v>-132521.54940046821</v>
      </c>
      <c r="E238" s="2">
        <v>37.946428571428577</v>
      </c>
      <c r="F238" s="2">
        <v>81457</v>
      </c>
    </row>
    <row r="239" spans="1:6" x14ac:dyDescent="0.2">
      <c r="A239" s="2">
        <v>214</v>
      </c>
      <c r="B239" s="2">
        <v>3433082.6433143946</v>
      </c>
      <c r="C239" s="2">
        <v>1099162.3566856054</v>
      </c>
      <c r="E239" s="2">
        <v>38.125</v>
      </c>
      <c r="F239" s="2">
        <v>81675</v>
      </c>
    </row>
    <row r="240" spans="1:6" x14ac:dyDescent="0.2">
      <c r="A240" s="2">
        <v>215</v>
      </c>
      <c r="B240" s="2">
        <v>1525694.105971786</v>
      </c>
      <c r="C240" s="2">
        <v>1738915.894028214</v>
      </c>
      <c r="E240" s="2">
        <v>38.303571428571431</v>
      </c>
      <c r="F240" s="2">
        <v>81730</v>
      </c>
    </row>
    <row r="241" spans="1:6" x14ac:dyDescent="0.2">
      <c r="A241" s="2">
        <v>216</v>
      </c>
      <c r="B241" s="2">
        <v>748938.50036958815</v>
      </c>
      <c r="C241" s="2">
        <v>208128.49963041185</v>
      </c>
      <c r="E241" s="2">
        <v>38.482142857142861</v>
      </c>
      <c r="F241" s="2">
        <v>82903</v>
      </c>
    </row>
    <row r="242" spans="1:6" x14ac:dyDescent="0.2">
      <c r="A242" s="2">
        <v>217</v>
      </c>
      <c r="B242" s="2">
        <v>5085088.4072056115</v>
      </c>
      <c r="C242" s="2">
        <v>5448091.5927943885</v>
      </c>
      <c r="E242" s="2">
        <v>38.660714285714285</v>
      </c>
      <c r="F242" s="2">
        <v>83409</v>
      </c>
    </row>
    <row r="243" spans="1:6" x14ac:dyDescent="0.2">
      <c r="A243" s="2">
        <v>218</v>
      </c>
      <c r="B243" s="2">
        <v>82965.833802530542</v>
      </c>
      <c r="C243" s="2">
        <v>102699.16619746946</v>
      </c>
      <c r="E243" s="2">
        <v>38.839285714285715</v>
      </c>
      <c r="F243" s="2">
        <v>84803</v>
      </c>
    </row>
    <row r="244" spans="1:6" x14ac:dyDescent="0.2">
      <c r="A244" s="2">
        <v>219</v>
      </c>
      <c r="B244" s="2">
        <v>-17607.454792672372</v>
      </c>
      <c r="C244" s="2">
        <v>33314.454792672375</v>
      </c>
      <c r="E244" s="2">
        <v>39.017857142857146</v>
      </c>
      <c r="F244" s="2">
        <v>85769</v>
      </c>
    </row>
    <row r="245" spans="1:6" x14ac:dyDescent="0.2">
      <c r="A245" s="2">
        <v>220</v>
      </c>
      <c r="B245" s="2">
        <v>15452.412825107647</v>
      </c>
      <c r="C245" s="2">
        <v>23607.587174892353</v>
      </c>
      <c r="E245" s="2">
        <v>39.196428571428577</v>
      </c>
      <c r="F245" s="2">
        <v>86275</v>
      </c>
    </row>
    <row r="246" spans="1:6" x14ac:dyDescent="0.2">
      <c r="A246" s="2">
        <v>221</v>
      </c>
      <c r="B246" s="2">
        <v>351084.24196864892</v>
      </c>
      <c r="C246" s="2">
        <v>-309547.24196864892</v>
      </c>
      <c r="E246" s="2">
        <v>39.375</v>
      </c>
      <c r="F246" s="2">
        <v>87263</v>
      </c>
    </row>
    <row r="247" spans="1:6" x14ac:dyDescent="0.2">
      <c r="A247" s="2">
        <v>222</v>
      </c>
      <c r="B247" s="2">
        <v>168554.15774633884</v>
      </c>
      <c r="C247" s="2">
        <v>13583.842253661162</v>
      </c>
      <c r="E247" s="2">
        <v>39.553571428571431</v>
      </c>
      <c r="F247" s="2">
        <v>87630</v>
      </c>
    </row>
    <row r="248" spans="1:6" x14ac:dyDescent="0.2">
      <c r="A248" s="2">
        <v>223</v>
      </c>
      <c r="B248" s="2">
        <v>5072117.4134314442</v>
      </c>
      <c r="C248" s="2">
        <v>-3624348.4134314442</v>
      </c>
      <c r="E248" s="2">
        <v>39.732142857142861</v>
      </c>
      <c r="F248" s="2">
        <v>87829</v>
      </c>
    </row>
    <row r="249" spans="1:6" x14ac:dyDescent="0.2">
      <c r="A249" s="2">
        <v>224</v>
      </c>
      <c r="B249" s="2">
        <v>128098.6500070098</v>
      </c>
      <c r="C249" s="2">
        <v>-124414.6500070098</v>
      </c>
      <c r="E249" s="2">
        <v>39.910714285714285</v>
      </c>
      <c r="F249" s="2">
        <v>88170</v>
      </c>
    </row>
    <row r="250" spans="1:6" x14ac:dyDescent="0.2">
      <c r="A250" s="2">
        <v>225</v>
      </c>
      <c r="B250" s="2">
        <v>18758.399586885651</v>
      </c>
      <c r="C250" s="2">
        <v>75514.600413114356</v>
      </c>
      <c r="E250" s="2">
        <v>40.089285714285715</v>
      </c>
      <c r="F250" s="2">
        <v>88643</v>
      </c>
    </row>
    <row r="251" spans="1:6" x14ac:dyDescent="0.2">
      <c r="A251" s="2">
        <v>226</v>
      </c>
      <c r="B251" s="2">
        <v>752979.15085620561</v>
      </c>
      <c r="C251" s="2">
        <v>272344.84914379439</v>
      </c>
      <c r="E251" s="2">
        <v>40.267857142857146</v>
      </c>
      <c r="F251" s="2">
        <v>89390</v>
      </c>
    </row>
    <row r="252" spans="1:6" x14ac:dyDescent="0.2">
      <c r="A252" s="2">
        <v>227</v>
      </c>
      <c r="B252" s="2">
        <v>77342.087961925747</v>
      </c>
      <c r="C252" s="2">
        <v>27011.912038074253</v>
      </c>
      <c r="E252" s="2">
        <v>40.446428571428577</v>
      </c>
      <c r="F252" s="2">
        <v>89547</v>
      </c>
    </row>
    <row r="253" spans="1:6" x14ac:dyDescent="0.2">
      <c r="A253" s="2">
        <v>228</v>
      </c>
      <c r="B253" s="2">
        <v>463120.46000668115</v>
      </c>
      <c r="C253" s="2">
        <v>-291857.46000668115</v>
      </c>
      <c r="E253" s="2">
        <v>40.625</v>
      </c>
      <c r="F253" s="2">
        <v>90317</v>
      </c>
    </row>
    <row r="254" spans="1:6" x14ac:dyDescent="0.2">
      <c r="A254" s="2">
        <v>229</v>
      </c>
      <c r="B254" s="2">
        <v>418673.30465388804</v>
      </c>
      <c r="C254" s="2">
        <v>-284160.30465388804</v>
      </c>
      <c r="E254" s="2">
        <v>40.803571428571431</v>
      </c>
      <c r="F254" s="2">
        <v>92116</v>
      </c>
    </row>
    <row r="255" spans="1:6" x14ac:dyDescent="0.2">
      <c r="A255" s="2">
        <v>230</v>
      </c>
      <c r="B255" s="2">
        <v>206592.06860503179</v>
      </c>
      <c r="C255" s="2">
        <v>123760.93139496821</v>
      </c>
      <c r="E255" s="2">
        <v>40.982142857142861</v>
      </c>
      <c r="F255" s="2">
        <v>93216</v>
      </c>
    </row>
    <row r="256" spans="1:6" x14ac:dyDescent="0.2">
      <c r="A256" s="2">
        <v>231</v>
      </c>
      <c r="B256" s="2">
        <v>-19659.551866391041</v>
      </c>
      <c r="C256" s="2">
        <v>67671.551866391033</v>
      </c>
      <c r="E256" s="2">
        <v>41.160714285714285</v>
      </c>
      <c r="F256" s="2">
        <v>93418</v>
      </c>
    </row>
    <row r="257" spans="1:6" x14ac:dyDescent="0.2">
      <c r="A257" s="2">
        <v>232</v>
      </c>
      <c r="B257" s="2">
        <v>-1900.5351486021373</v>
      </c>
      <c r="C257" s="2">
        <v>5858.5351486021373</v>
      </c>
      <c r="E257" s="2">
        <v>41.339285714285715</v>
      </c>
      <c r="F257" s="2">
        <v>94273</v>
      </c>
    </row>
    <row r="258" spans="1:6" x14ac:dyDescent="0.2">
      <c r="A258" s="2">
        <v>233</v>
      </c>
      <c r="B258" s="2">
        <v>-42966.062031801004</v>
      </c>
      <c r="C258" s="2">
        <v>42967.062031801004</v>
      </c>
      <c r="E258" s="2">
        <v>41.517857142857146</v>
      </c>
      <c r="F258" s="2">
        <v>96409</v>
      </c>
    </row>
    <row r="259" spans="1:6" x14ac:dyDescent="0.2">
      <c r="A259" s="2">
        <v>234</v>
      </c>
      <c r="B259" s="2">
        <v>810866.301702898</v>
      </c>
      <c r="C259" s="2">
        <v>901584.698297102</v>
      </c>
      <c r="E259" s="2">
        <v>41.696428571428577</v>
      </c>
      <c r="F259" s="2">
        <v>97524</v>
      </c>
    </row>
    <row r="260" spans="1:6" x14ac:dyDescent="0.2">
      <c r="A260" s="2">
        <v>235</v>
      </c>
      <c r="B260" s="2">
        <v>755917.8057555639</v>
      </c>
      <c r="C260" s="2">
        <v>273204.1942444361</v>
      </c>
      <c r="E260" s="2">
        <v>41.875</v>
      </c>
      <c r="F260" s="2">
        <v>97593</v>
      </c>
    </row>
    <row r="261" spans="1:6" x14ac:dyDescent="0.2">
      <c r="A261" s="2">
        <v>236</v>
      </c>
      <c r="B261" s="2">
        <v>8372226.8654107293</v>
      </c>
      <c r="C261" s="2">
        <v>2433908.1345892707</v>
      </c>
      <c r="E261" s="2">
        <v>42.053571428571431</v>
      </c>
      <c r="F261" s="2">
        <v>97854</v>
      </c>
    </row>
    <row r="262" spans="1:6" x14ac:dyDescent="0.2">
      <c r="A262" s="2">
        <v>237</v>
      </c>
      <c r="B262" s="2">
        <v>5233376.1010337267</v>
      </c>
      <c r="C262" s="2">
        <v>-3755070.1010337267</v>
      </c>
      <c r="E262" s="2">
        <v>42.232142857142861</v>
      </c>
      <c r="F262" s="2">
        <v>98222</v>
      </c>
    </row>
    <row r="263" spans="1:6" x14ac:dyDescent="0.2">
      <c r="A263" s="2">
        <v>238</v>
      </c>
      <c r="B263" s="2">
        <v>1072570.5798935764</v>
      </c>
      <c r="C263" s="2">
        <v>139208.42010642355</v>
      </c>
      <c r="E263" s="2">
        <v>42.410714285714285</v>
      </c>
      <c r="F263" s="2">
        <v>99517</v>
      </c>
    </row>
    <row r="264" spans="1:6" x14ac:dyDescent="0.2">
      <c r="A264" s="2">
        <v>239</v>
      </c>
      <c r="B264" s="2">
        <v>2323538.9111475437</v>
      </c>
      <c r="C264" s="2">
        <v>-1673767.9111475437</v>
      </c>
      <c r="E264" s="2">
        <v>42.589285714285715</v>
      </c>
      <c r="F264" s="2">
        <v>100954</v>
      </c>
    </row>
    <row r="265" spans="1:6" x14ac:dyDescent="0.2">
      <c r="A265" s="2">
        <v>240</v>
      </c>
      <c r="B265" s="2">
        <v>38898.719044321137</v>
      </c>
      <c r="C265" s="2">
        <v>86944.280955678871</v>
      </c>
      <c r="E265" s="2">
        <v>42.767857142857146</v>
      </c>
      <c r="F265" s="2">
        <v>101489</v>
      </c>
    </row>
    <row r="266" spans="1:6" x14ac:dyDescent="0.2">
      <c r="A266" s="2">
        <v>241</v>
      </c>
      <c r="B266" s="2">
        <v>1769816.6790098033</v>
      </c>
      <c r="C266" s="2">
        <v>669577.32099019666</v>
      </c>
      <c r="E266" s="2">
        <v>42.946428571428577</v>
      </c>
      <c r="F266" s="2">
        <v>102632</v>
      </c>
    </row>
    <row r="267" spans="1:6" x14ac:dyDescent="0.2">
      <c r="A267" s="2">
        <v>242</v>
      </c>
      <c r="B267" s="2">
        <v>4496.0006133340867</v>
      </c>
      <c r="C267" s="2">
        <v>15076.999386665913</v>
      </c>
      <c r="E267" s="2">
        <v>43.125</v>
      </c>
      <c r="F267" s="2">
        <v>102995</v>
      </c>
    </row>
    <row r="268" spans="1:6" x14ac:dyDescent="0.2">
      <c r="A268" s="2">
        <v>243</v>
      </c>
      <c r="B268" s="2">
        <v>160105.52491068395</v>
      </c>
      <c r="C268" s="2">
        <v>27612.475089316053</v>
      </c>
      <c r="E268" s="2">
        <v>43.303571428571431</v>
      </c>
      <c r="F268" s="2">
        <v>103517</v>
      </c>
    </row>
    <row r="269" spans="1:6" x14ac:dyDescent="0.2">
      <c r="A269" s="2">
        <v>244</v>
      </c>
      <c r="B269" s="2">
        <v>37302.914958169938</v>
      </c>
      <c r="C269" s="2">
        <v>11344.085041830062</v>
      </c>
      <c r="E269" s="2">
        <v>43.482142857142861</v>
      </c>
      <c r="F269" s="2">
        <v>104187</v>
      </c>
    </row>
    <row r="270" spans="1:6" x14ac:dyDescent="0.2">
      <c r="A270" s="2">
        <v>245</v>
      </c>
      <c r="B270" s="2">
        <v>982727.38907186582</v>
      </c>
      <c r="C270" s="2">
        <v>-728302.38907186582</v>
      </c>
      <c r="E270" s="2">
        <v>43.660714285714285</v>
      </c>
      <c r="F270" s="2">
        <v>104354</v>
      </c>
    </row>
    <row r="271" spans="1:6" x14ac:dyDescent="0.2">
      <c r="A271" s="2">
        <v>246</v>
      </c>
      <c r="B271" s="2">
        <v>394679.3015812895</v>
      </c>
      <c r="C271" s="2">
        <v>388500.6984187105</v>
      </c>
      <c r="E271" s="2">
        <v>43.839285714285715</v>
      </c>
      <c r="F271" s="2">
        <v>106031</v>
      </c>
    </row>
    <row r="272" spans="1:6" x14ac:dyDescent="0.2">
      <c r="A272" s="2">
        <v>247</v>
      </c>
      <c r="B272" s="2">
        <v>529122.76322692831</v>
      </c>
      <c r="C272" s="2">
        <v>514407.23677307169</v>
      </c>
      <c r="E272" s="2">
        <v>44.017857142857146</v>
      </c>
      <c r="F272" s="2">
        <v>106227</v>
      </c>
    </row>
    <row r="273" spans="1:6" x14ac:dyDescent="0.2">
      <c r="A273" s="2">
        <v>248</v>
      </c>
      <c r="B273" s="2">
        <v>1087288.661169528</v>
      </c>
      <c r="C273" s="2">
        <v>-765354.66116952803</v>
      </c>
      <c r="E273" s="2">
        <v>44.196428571428577</v>
      </c>
      <c r="F273" s="2">
        <v>106725</v>
      </c>
    </row>
    <row r="274" spans="1:6" x14ac:dyDescent="0.2">
      <c r="A274" s="2">
        <v>249</v>
      </c>
      <c r="B274" s="2">
        <v>20024.998007108952</v>
      </c>
      <c r="C274" s="2">
        <v>255313.00199289105</v>
      </c>
      <c r="E274" s="2">
        <v>44.375</v>
      </c>
      <c r="F274" s="2">
        <v>106794</v>
      </c>
    </row>
    <row r="275" spans="1:6" x14ac:dyDescent="0.2">
      <c r="A275" s="2">
        <v>250</v>
      </c>
      <c r="B275" s="2">
        <v>401658.60696726537</v>
      </c>
      <c r="C275" s="2">
        <v>54960.393032734632</v>
      </c>
      <c r="E275" s="2">
        <v>44.553571428571431</v>
      </c>
      <c r="F275" s="2">
        <v>106995</v>
      </c>
    </row>
    <row r="276" spans="1:6" x14ac:dyDescent="0.2">
      <c r="A276" s="2">
        <v>251</v>
      </c>
      <c r="B276" s="2">
        <v>317728.40940009308</v>
      </c>
      <c r="C276" s="2">
        <v>2207860.5905999071</v>
      </c>
      <c r="E276" s="2">
        <v>44.732142857142861</v>
      </c>
      <c r="F276" s="2">
        <v>108216</v>
      </c>
    </row>
    <row r="277" spans="1:6" x14ac:dyDescent="0.2">
      <c r="A277" s="2">
        <v>252</v>
      </c>
      <c r="B277" s="2">
        <v>7738.4437142923125</v>
      </c>
      <c r="C277" s="2">
        <v>59214.556285707687</v>
      </c>
      <c r="E277" s="2">
        <v>44.910714285714285</v>
      </c>
      <c r="F277" s="2">
        <v>108352</v>
      </c>
    </row>
    <row r="278" spans="1:6" x14ac:dyDescent="0.2">
      <c r="A278" s="2">
        <v>253</v>
      </c>
      <c r="B278" s="2">
        <v>120825.82241092813</v>
      </c>
      <c r="C278" s="2">
        <v>-74796.822410928129</v>
      </c>
      <c r="E278" s="2">
        <v>45.089285714285715</v>
      </c>
      <c r="F278" s="2">
        <v>110023</v>
      </c>
    </row>
    <row r="279" spans="1:6" x14ac:dyDescent="0.2">
      <c r="A279" s="2">
        <v>254</v>
      </c>
      <c r="B279" s="2">
        <v>27495308.185222752</v>
      </c>
      <c r="C279" s="2">
        <v>3443286.8147772476</v>
      </c>
      <c r="E279" s="2">
        <v>45.267857142857146</v>
      </c>
      <c r="F279" s="2">
        <v>114803</v>
      </c>
    </row>
    <row r="280" spans="1:6" x14ac:dyDescent="0.2">
      <c r="A280" s="2">
        <v>255</v>
      </c>
      <c r="B280" s="2">
        <v>992264.08739228116</v>
      </c>
      <c r="C280" s="2">
        <v>72558.912607718841</v>
      </c>
      <c r="E280" s="2">
        <v>45.446428571428577</v>
      </c>
      <c r="F280" s="2">
        <v>114994</v>
      </c>
    </row>
    <row r="281" spans="1:6" x14ac:dyDescent="0.2">
      <c r="A281" s="2">
        <v>256</v>
      </c>
      <c r="B281" s="2">
        <v>-17088.228829452593</v>
      </c>
      <c r="C281" s="2">
        <v>69458.228829452593</v>
      </c>
      <c r="E281" s="2">
        <v>45.625</v>
      </c>
      <c r="F281" s="2">
        <v>121994</v>
      </c>
    </row>
    <row r="282" spans="1:6" x14ac:dyDescent="0.2">
      <c r="A282" s="2">
        <v>257</v>
      </c>
      <c r="B282" s="2">
        <v>165450.90001401663</v>
      </c>
      <c r="C282" s="2">
        <v>101941.09998598337</v>
      </c>
      <c r="E282" s="2">
        <v>45.803571428571431</v>
      </c>
      <c r="F282" s="2">
        <v>123822</v>
      </c>
    </row>
    <row r="283" spans="1:6" x14ac:dyDescent="0.2">
      <c r="A283" s="2">
        <v>258</v>
      </c>
      <c r="B283" s="2">
        <v>37201.245100858287</v>
      </c>
      <c r="C283" s="2">
        <v>134062.75489914173</v>
      </c>
      <c r="E283" s="2">
        <v>45.982142857142861</v>
      </c>
      <c r="F283" s="2">
        <v>124783</v>
      </c>
    </row>
    <row r="284" spans="1:6" x14ac:dyDescent="0.2">
      <c r="A284" s="2">
        <v>259</v>
      </c>
      <c r="B284" s="2">
        <v>-988.55985863466776</v>
      </c>
      <c r="C284" s="2">
        <v>38230.559858634668</v>
      </c>
      <c r="E284" s="2">
        <v>46.160714285714285</v>
      </c>
      <c r="F284" s="2">
        <v>125337</v>
      </c>
    </row>
    <row r="285" spans="1:6" x14ac:dyDescent="0.2">
      <c r="A285" s="2">
        <v>260</v>
      </c>
      <c r="B285" s="2">
        <v>2301131.6675399374</v>
      </c>
      <c r="C285" s="2">
        <v>-1660151.6675399374</v>
      </c>
      <c r="E285" s="2">
        <v>46.339285714285715</v>
      </c>
      <c r="F285" s="2">
        <v>125843</v>
      </c>
    </row>
    <row r="286" spans="1:6" x14ac:dyDescent="0.2">
      <c r="A286" s="2">
        <v>261</v>
      </c>
      <c r="B286" s="2">
        <v>340798.9498208951</v>
      </c>
      <c r="C286" s="2">
        <v>-301520.9498208951</v>
      </c>
      <c r="E286" s="2">
        <v>46.517857142857146</v>
      </c>
      <c r="F286" s="2">
        <v>130516</v>
      </c>
    </row>
    <row r="287" spans="1:6" x14ac:dyDescent="0.2">
      <c r="A287" s="2">
        <v>262</v>
      </c>
      <c r="B287" s="2">
        <v>1265179.5631231796</v>
      </c>
      <c r="C287" s="2">
        <v>172954.4368768204</v>
      </c>
      <c r="E287" s="2">
        <v>46.696428571428577</v>
      </c>
      <c r="F287" s="2">
        <v>131249</v>
      </c>
    </row>
    <row r="288" spans="1:6" x14ac:dyDescent="0.2">
      <c r="A288" s="2">
        <v>263</v>
      </c>
      <c r="B288" s="2">
        <v>358798.21107946424</v>
      </c>
      <c r="C288" s="2">
        <v>-304315.21107946424</v>
      </c>
      <c r="E288" s="2">
        <v>46.875</v>
      </c>
      <c r="F288" s="2">
        <v>131624</v>
      </c>
    </row>
    <row r="289" spans="1:6" x14ac:dyDescent="0.2">
      <c r="A289" s="2">
        <v>264</v>
      </c>
      <c r="B289" s="2">
        <v>95075.076530219259</v>
      </c>
      <c r="C289" s="2">
        <v>-61004.076530219259</v>
      </c>
      <c r="E289" s="2">
        <v>47.053571428571431</v>
      </c>
      <c r="F289" s="2">
        <v>132303</v>
      </c>
    </row>
    <row r="290" spans="1:6" x14ac:dyDescent="0.2">
      <c r="A290" s="2">
        <v>265</v>
      </c>
      <c r="B290" s="2">
        <v>7155.6740902527526</v>
      </c>
      <c r="C290" s="2">
        <v>52336.325909747247</v>
      </c>
      <c r="E290" s="2">
        <v>47.232142857142861</v>
      </c>
      <c r="F290" s="2">
        <v>133320</v>
      </c>
    </row>
    <row r="291" spans="1:6" x14ac:dyDescent="0.2">
      <c r="A291" s="2">
        <v>266</v>
      </c>
      <c r="B291" s="2">
        <v>-17974.78665509215</v>
      </c>
      <c r="C291" s="2">
        <v>33529.786655092146</v>
      </c>
      <c r="E291" s="2">
        <v>47.410714285714285</v>
      </c>
      <c r="F291" s="2">
        <v>133343</v>
      </c>
    </row>
    <row r="292" spans="1:6" x14ac:dyDescent="0.2">
      <c r="A292" s="2">
        <v>267</v>
      </c>
      <c r="B292" s="2">
        <v>641488.79761605593</v>
      </c>
      <c r="C292" s="2">
        <v>-189002.79761605593</v>
      </c>
      <c r="E292" s="2">
        <v>47.589285714285715</v>
      </c>
      <c r="F292" s="2">
        <v>133558</v>
      </c>
    </row>
    <row r="293" spans="1:6" x14ac:dyDescent="0.2">
      <c r="A293" s="2">
        <v>268</v>
      </c>
      <c r="B293" s="2">
        <v>37226.662565186198</v>
      </c>
      <c r="C293" s="2">
        <v>22375.337434813802</v>
      </c>
      <c r="E293" s="2">
        <v>47.767857142857146</v>
      </c>
      <c r="F293" s="2">
        <v>134513</v>
      </c>
    </row>
    <row r="294" spans="1:6" x14ac:dyDescent="0.2">
      <c r="A294" s="2">
        <v>269</v>
      </c>
      <c r="B294" s="2">
        <v>446624.37759811076</v>
      </c>
      <c r="C294" s="2">
        <v>41608.622401889239</v>
      </c>
      <c r="E294" s="2">
        <v>47.946428571428577</v>
      </c>
      <c r="F294" s="2">
        <v>135025</v>
      </c>
    </row>
    <row r="295" spans="1:6" x14ac:dyDescent="0.2">
      <c r="A295" s="2">
        <v>270</v>
      </c>
      <c r="B295" s="2">
        <v>74036.101200147736</v>
      </c>
      <c r="C295" s="2">
        <v>32190.898799852264</v>
      </c>
      <c r="E295" s="2">
        <v>48.125</v>
      </c>
      <c r="F295" s="2">
        <v>143332</v>
      </c>
    </row>
    <row r="296" spans="1:6" x14ac:dyDescent="0.2">
      <c r="A296" s="2">
        <v>271</v>
      </c>
      <c r="B296" s="2">
        <v>130009.11897142259</v>
      </c>
      <c r="C296" s="2">
        <v>-81648.118971422591</v>
      </c>
      <c r="E296" s="2">
        <v>48.303571428571431</v>
      </c>
      <c r="F296" s="2">
        <v>143518</v>
      </c>
    </row>
    <row r="297" spans="1:6" x14ac:dyDescent="0.2">
      <c r="A297" s="2">
        <v>272</v>
      </c>
      <c r="B297" s="2">
        <v>-17088.228829452593</v>
      </c>
      <c r="C297" s="2">
        <v>69478.228829452593</v>
      </c>
      <c r="E297" s="2">
        <v>48.482142857142861</v>
      </c>
      <c r="F297" s="2">
        <v>144065</v>
      </c>
    </row>
    <row r="298" spans="1:6" x14ac:dyDescent="0.2">
      <c r="A298" s="2">
        <v>273</v>
      </c>
      <c r="B298" s="2">
        <v>623146.40058906004</v>
      </c>
      <c r="C298" s="2">
        <v>14627.599410939962</v>
      </c>
      <c r="E298" s="2">
        <v>48.660714285714285</v>
      </c>
      <c r="F298" s="2">
        <v>144311</v>
      </c>
    </row>
    <row r="299" spans="1:6" x14ac:dyDescent="0.2">
      <c r="A299" s="2">
        <v>274</v>
      </c>
      <c r="B299" s="2">
        <v>1457559.1784886643</v>
      </c>
      <c r="C299" s="2">
        <v>-439270.17848866433</v>
      </c>
      <c r="E299" s="2">
        <v>48.839285714285715</v>
      </c>
      <c r="F299" s="2">
        <v>144678</v>
      </c>
    </row>
    <row r="300" spans="1:6" x14ac:dyDescent="0.2">
      <c r="A300" s="2">
        <v>275</v>
      </c>
      <c r="B300" s="2">
        <v>752624.52772594988</v>
      </c>
      <c r="C300" s="2">
        <v>-150877.52772594988</v>
      </c>
      <c r="E300" s="2">
        <v>49.017857142857146</v>
      </c>
      <c r="F300" s="2">
        <v>146456</v>
      </c>
    </row>
    <row r="301" spans="1:6" x14ac:dyDescent="0.2">
      <c r="A301" s="2">
        <v>276</v>
      </c>
      <c r="B301" s="2">
        <v>2911269.8910191888</v>
      </c>
      <c r="C301" s="2">
        <v>3949567.1089808112</v>
      </c>
      <c r="E301" s="2">
        <v>49.196428571428577</v>
      </c>
      <c r="F301" s="2">
        <v>146917</v>
      </c>
    </row>
    <row r="302" spans="1:6" x14ac:dyDescent="0.2">
      <c r="A302" s="2">
        <v>277</v>
      </c>
      <c r="B302" s="2">
        <v>3380352.6793292454</v>
      </c>
      <c r="C302" s="2">
        <v>-2428721.6793292454</v>
      </c>
      <c r="E302" s="2">
        <v>49.375</v>
      </c>
      <c r="F302" s="2">
        <v>147414</v>
      </c>
    </row>
    <row r="303" spans="1:6" x14ac:dyDescent="0.2">
      <c r="A303" s="2">
        <v>278</v>
      </c>
      <c r="B303" s="2">
        <v>-42966.062031801004</v>
      </c>
      <c r="C303" s="2">
        <v>42968.062031801004</v>
      </c>
      <c r="E303" s="2">
        <v>49.553571428571431</v>
      </c>
      <c r="F303" s="2">
        <v>148175</v>
      </c>
    </row>
    <row r="304" spans="1:6" x14ac:dyDescent="0.2">
      <c r="A304" s="2">
        <v>279</v>
      </c>
      <c r="B304" s="2">
        <v>41114.808265836298</v>
      </c>
      <c r="C304" s="2">
        <v>-15013.808265836298</v>
      </c>
      <c r="E304" s="2">
        <v>49.732142857142861</v>
      </c>
      <c r="F304" s="2">
        <v>148198</v>
      </c>
    </row>
    <row r="305" spans="1:6" x14ac:dyDescent="0.2">
      <c r="A305" s="2">
        <v>280</v>
      </c>
      <c r="B305" s="2">
        <v>155621.29016866288</v>
      </c>
      <c r="C305" s="2">
        <v>49021.709831337124</v>
      </c>
      <c r="E305" s="2">
        <v>49.910714285714285</v>
      </c>
      <c r="F305" s="2">
        <v>149367</v>
      </c>
    </row>
    <row r="306" spans="1:6" x14ac:dyDescent="0.2">
      <c r="A306" s="2">
        <v>281</v>
      </c>
      <c r="B306" s="2">
        <v>-41750.298540233533</v>
      </c>
      <c r="C306" s="2">
        <v>61230.298540233533</v>
      </c>
      <c r="E306" s="2">
        <v>50.089285714285715</v>
      </c>
      <c r="F306" s="2">
        <v>153514</v>
      </c>
    </row>
    <row r="307" spans="1:6" x14ac:dyDescent="0.2">
      <c r="A307" s="2">
        <v>282</v>
      </c>
      <c r="B307" s="2">
        <v>-35252.092920985669</v>
      </c>
      <c r="C307" s="2">
        <v>40788.092920985669</v>
      </c>
      <c r="E307" s="2">
        <v>50.267857142857146</v>
      </c>
      <c r="F307" s="2">
        <v>153997</v>
      </c>
    </row>
    <row r="308" spans="1:6" x14ac:dyDescent="0.2">
      <c r="A308" s="2">
        <v>283</v>
      </c>
      <c r="B308" s="2">
        <v>562871.34512223175</v>
      </c>
      <c r="C308" s="2">
        <v>-521325.34512223175</v>
      </c>
      <c r="E308" s="2">
        <v>50.446428571428577</v>
      </c>
      <c r="F308" s="2">
        <v>155378</v>
      </c>
    </row>
    <row r="309" spans="1:6" x14ac:dyDescent="0.2">
      <c r="A309" s="2">
        <v>284</v>
      </c>
      <c r="B309" s="2">
        <v>177002.79058199373</v>
      </c>
      <c r="C309" s="2">
        <v>12520.20941800627</v>
      </c>
      <c r="E309" s="2">
        <v>50.625</v>
      </c>
      <c r="F309" s="2">
        <v>156211</v>
      </c>
    </row>
    <row r="310" spans="1:6" x14ac:dyDescent="0.2">
      <c r="A310" s="2">
        <v>285</v>
      </c>
      <c r="B310" s="2">
        <v>3250266.9757891553</v>
      </c>
      <c r="C310" s="2">
        <v>1813504.0242108447</v>
      </c>
      <c r="E310" s="2">
        <v>50.803571428571431</v>
      </c>
      <c r="F310" s="2">
        <v>156255</v>
      </c>
    </row>
    <row r="311" spans="1:6" x14ac:dyDescent="0.2">
      <c r="A311" s="2">
        <v>286</v>
      </c>
      <c r="B311" s="2">
        <v>-19659.551866391041</v>
      </c>
      <c r="C311" s="2">
        <v>67593.551866391033</v>
      </c>
      <c r="E311" s="2">
        <v>50.982142857142861</v>
      </c>
      <c r="F311" s="2">
        <v>157166</v>
      </c>
    </row>
    <row r="312" spans="1:6" x14ac:dyDescent="0.2">
      <c r="A312" s="2">
        <v>287</v>
      </c>
      <c r="B312" s="2">
        <v>3409004.564597988</v>
      </c>
      <c r="C312" s="2">
        <v>-2449309.564597988</v>
      </c>
      <c r="E312" s="2">
        <v>51.160714285714285</v>
      </c>
      <c r="F312" s="2">
        <v>161470</v>
      </c>
    </row>
    <row r="313" spans="1:6" x14ac:dyDescent="0.2">
      <c r="A313" s="2">
        <v>288</v>
      </c>
      <c r="B313" s="2">
        <v>161537.94753420609</v>
      </c>
      <c r="C313" s="2">
        <v>-73367.94753420609</v>
      </c>
      <c r="E313" s="2">
        <v>51.339285714285715</v>
      </c>
      <c r="F313" s="2">
        <v>162407</v>
      </c>
    </row>
    <row r="314" spans="1:6" x14ac:dyDescent="0.2">
      <c r="A314" s="2">
        <v>289</v>
      </c>
      <c r="B314" s="2">
        <v>375450.34672865411</v>
      </c>
      <c r="C314" s="2">
        <v>-87837.346728654113</v>
      </c>
      <c r="E314" s="2">
        <v>51.517857142857146</v>
      </c>
      <c r="F314" s="2">
        <v>163150</v>
      </c>
    </row>
    <row r="315" spans="1:6" x14ac:dyDescent="0.2">
      <c r="A315" s="2">
        <v>290</v>
      </c>
      <c r="B315" s="2">
        <v>-23902.931382464412</v>
      </c>
      <c r="C315" s="2">
        <v>74104.93138246442</v>
      </c>
      <c r="E315" s="2">
        <v>51.696428571428577</v>
      </c>
      <c r="F315" s="2">
        <v>165080</v>
      </c>
    </row>
    <row r="316" spans="1:6" x14ac:dyDescent="0.2">
      <c r="A316" s="2">
        <v>291</v>
      </c>
      <c r="B316" s="2">
        <v>-722.89785352653416</v>
      </c>
      <c r="C316" s="2">
        <v>101676.89785352653</v>
      </c>
      <c r="E316" s="2">
        <v>51.875</v>
      </c>
      <c r="F316" s="2">
        <v>165984</v>
      </c>
    </row>
    <row r="317" spans="1:6" x14ac:dyDescent="0.2">
      <c r="A317" s="2">
        <v>292</v>
      </c>
      <c r="B317" s="2">
        <v>80065.305099664169</v>
      </c>
      <c r="C317" s="2">
        <v>76189.694900335831</v>
      </c>
      <c r="E317" s="2">
        <v>52.053571428571431</v>
      </c>
      <c r="F317" s="2">
        <v>166982</v>
      </c>
    </row>
    <row r="318" spans="1:6" x14ac:dyDescent="0.2">
      <c r="A318" s="2">
        <v>293</v>
      </c>
      <c r="B318" s="2">
        <v>677144.1843647674</v>
      </c>
      <c r="C318" s="2">
        <v>117602.8156352326</v>
      </c>
      <c r="E318" s="2">
        <v>52.232142857142861</v>
      </c>
      <c r="F318" s="2">
        <v>167528</v>
      </c>
    </row>
    <row r="319" spans="1:6" x14ac:dyDescent="0.2">
      <c r="A319" s="2">
        <v>294</v>
      </c>
      <c r="B319" s="2">
        <v>175001.52843693088</v>
      </c>
      <c r="C319" s="2">
        <v>107463.47156306912</v>
      </c>
      <c r="E319" s="2">
        <v>52.410714285714285</v>
      </c>
      <c r="F319" s="2">
        <v>170584</v>
      </c>
    </row>
    <row r="320" spans="1:6" x14ac:dyDescent="0.2">
      <c r="A320" s="2">
        <v>295</v>
      </c>
      <c r="B320" s="2">
        <v>-20394.215591230597</v>
      </c>
      <c r="C320" s="2">
        <v>39008.215591230597</v>
      </c>
      <c r="E320" s="2">
        <v>52.589285714285715</v>
      </c>
      <c r="F320" s="2">
        <v>171263</v>
      </c>
    </row>
    <row r="321" spans="1:6" x14ac:dyDescent="0.2">
      <c r="A321" s="2">
        <v>296</v>
      </c>
      <c r="B321" s="2">
        <v>127058.36602506787</v>
      </c>
      <c r="C321" s="2">
        <v>59609.633974932134</v>
      </c>
      <c r="E321" s="2">
        <v>52.767857142857146</v>
      </c>
      <c r="F321" s="2">
        <v>171264</v>
      </c>
    </row>
    <row r="322" spans="1:6" x14ac:dyDescent="0.2">
      <c r="A322" s="2">
        <v>297</v>
      </c>
      <c r="B322" s="2">
        <v>-40394.738994862557</v>
      </c>
      <c r="C322" s="2">
        <v>42448.738994862557</v>
      </c>
      <c r="E322" s="2">
        <v>52.946428571428577</v>
      </c>
      <c r="F322" s="2">
        <v>171467</v>
      </c>
    </row>
    <row r="323" spans="1:6" x14ac:dyDescent="0.2">
      <c r="A323" s="2">
        <v>298</v>
      </c>
      <c r="B323" s="2">
        <v>19860.395174144986</v>
      </c>
      <c r="C323" s="2">
        <v>19582.604825855014</v>
      </c>
      <c r="E323" s="2">
        <v>53.125</v>
      </c>
      <c r="F323" s="2">
        <v>173703</v>
      </c>
    </row>
    <row r="324" spans="1:6" x14ac:dyDescent="0.2">
      <c r="A324" s="2">
        <v>299</v>
      </c>
      <c r="B324" s="2">
        <v>7940979.2589299101</v>
      </c>
      <c r="C324" s="2">
        <v>-5712077.2589299101</v>
      </c>
      <c r="E324" s="2">
        <v>53.303571428571431</v>
      </c>
      <c r="F324" s="2">
        <v>176811</v>
      </c>
    </row>
    <row r="325" spans="1:6" x14ac:dyDescent="0.2">
      <c r="A325" s="2">
        <v>300</v>
      </c>
      <c r="B325" s="2">
        <v>361936.54158244096</v>
      </c>
      <c r="C325" s="2">
        <v>280861.45841755904</v>
      </c>
      <c r="E325" s="2">
        <v>53.482142857142861</v>
      </c>
      <c r="F325" s="2">
        <v>177297</v>
      </c>
    </row>
    <row r="326" spans="1:6" x14ac:dyDescent="0.2">
      <c r="A326" s="2">
        <v>301</v>
      </c>
      <c r="B326" s="2">
        <v>-41864.06644454167</v>
      </c>
      <c r="C326" s="2">
        <v>42839.06644454167</v>
      </c>
      <c r="E326" s="2">
        <v>53.660714285714285</v>
      </c>
      <c r="F326" s="2">
        <v>181242</v>
      </c>
    </row>
    <row r="327" spans="1:6" x14ac:dyDescent="0.2">
      <c r="A327" s="2">
        <v>302</v>
      </c>
      <c r="B327" s="2">
        <v>-27943.581869081969</v>
      </c>
      <c r="C327" s="2">
        <v>46146.581869081972</v>
      </c>
      <c r="E327" s="2">
        <v>53.839285714285715</v>
      </c>
      <c r="F327" s="2">
        <v>182138</v>
      </c>
    </row>
    <row r="328" spans="1:6" x14ac:dyDescent="0.2">
      <c r="A328" s="2">
        <v>303</v>
      </c>
      <c r="B328" s="2">
        <v>18884.876223357751</v>
      </c>
      <c r="C328" s="2">
        <v>55030.123776642249</v>
      </c>
      <c r="E328" s="2">
        <v>54.017857142857146</v>
      </c>
      <c r="F328" s="2">
        <v>183518</v>
      </c>
    </row>
    <row r="329" spans="1:6" x14ac:dyDescent="0.2">
      <c r="A329" s="2">
        <v>304</v>
      </c>
      <c r="B329" s="2">
        <v>20024.998007108952</v>
      </c>
      <c r="C329" s="2">
        <v>264387.00199289108</v>
      </c>
      <c r="E329" s="2">
        <v>54.196428571428577</v>
      </c>
      <c r="F329" s="2">
        <v>184435</v>
      </c>
    </row>
    <row r="330" spans="1:6" x14ac:dyDescent="0.2">
      <c r="A330" s="2">
        <v>305</v>
      </c>
      <c r="B330" s="2">
        <v>1404107.2595108396</v>
      </c>
      <c r="C330" s="2">
        <v>257261.74048916041</v>
      </c>
      <c r="E330" s="2">
        <v>54.375</v>
      </c>
      <c r="F330" s="2">
        <v>185665</v>
      </c>
    </row>
    <row r="331" spans="1:6" x14ac:dyDescent="0.2">
      <c r="A331" s="2">
        <v>306</v>
      </c>
      <c r="B331" s="2">
        <v>-38190.747820343888</v>
      </c>
      <c r="C331" s="2">
        <v>41799.747820343888</v>
      </c>
      <c r="E331" s="2">
        <v>54.553571428571431</v>
      </c>
      <c r="F331" s="2">
        <v>186668</v>
      </c>
    </row>
    <row r="332" spans="1:6" x14ac:dyDescent="0.2">
      <c r="A332" s="2">
        <v>307</v>
      </c>
      <c r="B332" s="2">
        <v>-42231.398306961448</v>
      </c>
      <c r="C332" s="2">
        <v>42926.398306961448</v>
      </c>
      <c r="E332" s="2">
        <v>54.732142857142861</v>
      </c>
      <c r="F332" s="2">
        <v>187718</v>
      </c>
    </row>
    <row r="333" spans="1:6" x14ac:dyDescent="0.2">
      <c r="A333" s="2">
        <v>308</v>
      </c>
      <c r="B333" s="2">
        <v>4004321.8155736411</v>
      </c>
      <c r="C333" s="2">
        <v>-1403756.8155736411</v>
      </c>
      <c r="E333" s="2">
        <v>54.910714285714285</v>
      </c>
      <c r="F333" s="2">
        <v>187808</v>
      </c>
    </row>
    <row r="334" spans="1:6" x14ac:dyDescent="0.2">
      <c r="A334" s="2">
        <v>309</v>
      </c>
      <c r="B334" s="2">
        <v>197789.42332428854</v>
      </c>
      <c r="C334" s="2">
        <v>174305.57667571146</v>
      </c>
      <c r="E334" s="2">
        <v>55.089285714285715</v>
      </c>
      <c r="F334" s="2">
        <v>189523</v>
      </c>
    </row>
    <row r="335" spans="1:6" x14ac:dyDescent="0.2">
      <c r="A335" s="2">
        <v>310</v>
      </c>
      <c r="B335" s="2">
        <v>14228397.240310131</v>
      </c>
      <c r="C335" s="2">
        <v>985707.75968986936</v>
      </c>
      <c r="E335" s="2">
        <v>55.267857142857146</v>
      </c>
      <c r="F335" s="2">
        <v>191347</v>
      </c>
    </row>
    <row r="336" spans="1:6" x14ac:dyDescent="0.2">
      <c r="A336" s="2">
        <v>311</v>
      </c>
      <c r="B336" s="2">
        <v>911096.45452967414</v>
      </c>
      <c r="C336" s="2">
        <v>1185009.5454703257</v>
      </c>
      <c r="E336" s="2">
        <v>55.446428571428577</v>
      </c>
      <c r="F336" s="2">
        <v>193664</v>
      </c>
    </row>
    <row r="337" spans="1:6" x14ac:dyDescent="0.2">
      <c r="A337" s="2">
        <v>312</v>
      </c>
      <c r="B337" s="2">
        <v>10309.76675123076</v>
      </c>
      <c r="C337" s="2">
        <v>71420.233248769247</v>
      </c>
      <c r="E337" s="2">
        <v>55.625</v>
      </c>
      <c r="F337" s="2">
        <v>194987</v>
      </c>
    </row>
    <row r="338" spans="1:6" x14ac:dyDescent="0.2">
      <c r="A338" s="2">
        <v>313</v>
      </c>
      <c r="B338" s="2">
        <v>176421.85301345654</v>
      </c>
      <c r="C338" s="2">
        <v>-130241.85301345654</v>
      </c>
      <c r="E338" s="2">
        <v>55.803571428571431</v>
      </c>
      <c r="F338" s="2">
        <v>197166</v>
      </c>
    </row>
    <row r="339" spans="1:6" x14ac:dyDescent="0.2">
      <c r="A339" s="2">
        <v>314</v>
      </c>
      <c r="B339" s="2">
        <v>329778.99394830177</v>
      </c>
      <c r="C339" s="2">
        <v>-307500.99394830177</v>
      </c>
      <c r="E339" s="2">
        <v>55.982142857142861</v>
      </c>
      <c r="F339" s="2">
        <v>197575</v>
      </c>
    </row>
    <row r="340" spans="1:6" x14ac:dyDescent="0.2">
      <c r="A340" s="2">
        <v>315</v>
      </c>
      <c r="B340" s="2">
        <v>149807.52403076616</v>
      </c>
      <c r="C340" s="2">
        <v>-93509.524030766159</v>
      </c>
      <c r="E340" s="2">
        <v>56.160714285714285</v>
      </c>
      <c r="F340" s="2">
        <v>201877</v>
      </c>
    </row>
    <row r="341" spans="1:6" x14ac:dyDescent="0.2">
      <c r="A341" s="2">
        <v>316</v>
      </c>
      <c r="B341" s="2">
        <v>239461.91592551995</v>
      </c>
      <c r="C341" s="2">
        <v>212740.08407448005</v>
      </c>
      <c r="E341" s="2">
        <v>56.339285714285715</v>
      </c>
      <c r="F341" s="2">
        <v>204643</v>
      </c>
    </row>
    <row r="342" spans="1:6" x14ac:dyDescent="0.2">
      <c r="A342" s="2">
        <v>317</v>
      </c>
      <c r="B342" s="2">
        <v>5371607.2598930383</v>
      </c>
      <c r="C342" s="2">
        <v>4505462.7401069617</v>
      </c>
      <c r="E342" s="2">
        <v>56.517857142857146</v>
      </c>
      <c r="F342" s="2">
        <v>205064</v>
      </c>
    </row>
    <row r="343" spans="1:6" x14ac:dyDescent="0.2">
      <c r="A343" s="2">
        <v>318</v>
      </c>
      <c r="B343" s="2">
        <v>15819.744687527425</v>
      </c>
      <c r="C343" s="2">
        <v>63812.255312472575</v>
      </c>
      <c r="E343" s="2">
        <v>56.696428571428577</v>
      </c>
      <c r="F343" s="2">
        <v>205568</v>
      </c>
    </row>
    <row r="344" spans="1:6" x14ac:dyDescent="0.2">
      <c r="A344" s="2">
        <v>319</v>
      </c>
      <c r="B344" s="2">
        <v>441101.69092965015</v>
      </c>
      <c r="C344" s="2">
        <v>168043.30907034985</v>
      </c>
      <c r="E344" s="2">
        <v>56.875</v>
      </c>
      <c r="F344" s="2">
        <v>209772</v>
      </c>
    </row>
    <row r="345" spans="1:6" x14ac:dyDescent="0.2">
      <c r="A345" s="2">
        <v>320</v>
      </c>
      <c r="B345" s="2">
        <v>55390.526656719281</v>
      </c>
      <c r="C345" s="2">
        <v>25848.473343280719</v>
      </c>
      <c r="E345" s="2">
        <v>57.053571428571431</v>
      </c>
      <c r="F345" s="2">
        <v>211090</v>
      </c>
    </row>
    <row r="346" spans="1:6" x14ac:dyDescent="0.2">
      <c r="A346" s="2">
        <v>321</v>
      </c>
      <c r="B346" s="2">
        <v>-42598.730169381226</v>
      </c>
      <c r="C346" s="2">
        <v>42875.730169381226</v>
      </c>
      <c r="E346" s="2">
        <v>57.232142857142861</v>
      </c>
      <c r="F346" s="2">
        <v>212849</v>
      </c>
    </row>
    <row r="347" spans="1:6" x14ac:dyDescent="0.2">
      <c r="A347" s="2">
        <v>322</v>
      </c>
      <c r="B347" s="2">
        <v>-9538.8625516012034</v>
      </c>
      <c r="C347" s="2">
        <v>33283.862551601203</v>
      </c>
      <c r="E347" s="2">
        <v>57.410714285714285</v>
      </c>
      <c r="F347" s="2">
        <v>216640</v>
      </c>
    </row>
    <row r="348" spans="1:6" x14ac:dyDescent="0.2">
      <c r="A348" s="2">
        <v>323</v>
      </c>
      <c r="B348" s="2">
        <v>810131.63797805842</v>
      </c>
      <c r="C348" s="2">
        <v>985491.36202194158</v>
      </c>
      <c r="E348" s="2">
        <v>57.589285714285715</v>
      </c>
      <c r="F348" s="2">
        <v>217887</v>
      </c>
    </row>
    <row r="349" spans="1:6" x14ac:dyDescent="0.2">
      <c r="A349" s="2">
        <v>324</v>
      </c>
      <c r="B349" s="2">
        <v>23255.343061070678</v>
      </c>
      <c r="C349" s="2">
        <v>30704.656938929322</v>
      </c>
      <c r="E349" s="2">
        <v>57.767857142857146</v>
      </c>
      <c r="F349" s="2">
        <v>220766</v>
      </c>
    </row>
    <row r="350" spans="1:6" x14ac:dyDescent="0.2">
      <c r="A350" s="2">
        <v>325</v>
      </c>
      <c r="B350" s="2">
        <v>445522.38201085146</v>
      </c>
      <c r="C350" s="2">
        <v>-18322.382010851463</v>
      </c>
      <c r="E350" s="2">
        <v>57.946428571428577</v>
      </c>
      <c r="F350" s="2">
        <v>220837</v>
      </c>
    </row>
    <row r="351" spans="1:6" x14ac:dyDescent="0.2">
      <c r="A351" s="2">
        <v>326</v>
      </c>
      <c r="B351" s="2">
        <v>15254455.580535546</v>
      </c>
      <c r="C351" s="2">
        <v>9858347.4194644541</v>
      </c>
      <c r="E351" s="2">
        <v>58.125</v>
      </c>
      <c r="F351" s="2">
        <v>221127</v>
      </c>
    </row>
    <row r="352" spans="1:6" x14ac:dyDescent="0.2">
      <c r="A352" s="2">
        <v>327</v>
      </c>
      <c r="B352" s="2">
        <v>35199.982955795444</v>
      </c>
      <c r="C352" s="2">
        <v>-19869.982955795444</v>
      </c>
      <c r="E352" s="2">
        <v>58.303571428571431</v>
      </c>
      <c r="F352" s="2">
        <v>221329</v>
      </c>
    </row>
    <row r="353" spans="1:6" x14ac:dyDescent="0.2">
      <c r="A353" s="2">
        <v>328</v>
      </c>
      <c r="B353" s="2">
        <v>351485.4252313883</v>
      </c>
      <c r="C353" s="2">
        <v>225859.5747686117</v>
      </c>
      <c r="E353" s="2">
        <v>58.482142857142861</v>
      </c>
      <c r="F353" s="2">
        <v>221400</v>
      </c>
    </row>
    <row r="354" spans="1:6" x14ac:dyDescent="0.2">
      <c r="A354" s="2">
        <v>329</v>
      </c>
      <c r="B354" s="2">
        <v>692572.12258639815</v>
      </c>
      <c r="C354" s="2">
        <v>84107.877413601847</v>
      </c>
      <c r="E354" s="2">
        <v>58.660714285714285</v>
      </c>
      <c r="F354" s="2">
        <v>227452</v>
      </c>
    </row>
    <row r="355" spans="1:6" x14ac:dyDescent="0.2">
      <c r="A355" s="2">
        <v>330</v>
      </c>
      <c r="B355" s="2">
        <v>524714.780877891</v>
      </c>
      <c r="C355" s="2">
        <v>540737.219122109</v>
      </c>
      <c r="E355" s="2">
        <v>58.839285714285715</v>
      </c>
      <c r="F355" s="2">
        <v>227745</v>
      </c>
    </row>
    <row r="356" spans="1:6" x14ac:dyDescent="0.2">
      <c r="A356" s="2">
        <v>331</v>
      </c>
      <c r="B356" s="2">
        <v>16554.408412366982</v>
      </c>
      <c r="C356" s="2">
        <v>51383.591587633018</v>
      </c>
      <c r="E356" s="2">
        <v>59.017857142857146</v>
      </c>
      <c r="F356" s="2">
        <v>237386</v>
      </c>
    </row>
    <row r="357" spans="1:6" x14ac:dyDescent="0.2">
      <c r="A357" s="2">
        <v>332</v>
      </c>
      <c r="B357" s="2">
        <v>167072.12156449573</v>
      </c>
      <c r="C357" s="2">
        <v>-111279.12156449573</v>
      </c>
      <c r="E357" s="2">
        <v>59.196428571428577</v>
      </c>
      <c r="F357" s="2">
        <v>246311</v>
      </c>
    </row>
    <row r="358" spans="1:6" x14ac:dyDescent="0.2">
      <c r="A358" s="2">
        <v>333</v>
      </c>
      <c r="B358" s="2">
        <v>15085.080962687876</v>
      </c>
      <c r="C358" s="2">
        <v>54876.919037312124</v>
      </c>
      <c r="E358" s="2">
        <v>59.375</v>
      </c>
      <c r="F358" s="2">
        <v>248354</v>
      </c>
    </row>
    <row r="359" spans="1:6" x14ac:dyDescent="0.2">
      <c r="A359" s="2">
        <v>334</v>
      </c>
      <c r="B359" s="2">
        <v>3553567.4941880815</v>
      </c>
      <c r="C359" s="2">
        <v>1135035.5058119185</v>
      </c>
      <c r="E359" s="2">
        <v>59.553571428571431</v>
      </c>
      <c r="F359" s="2">
        <v>248703</v>
      </c>
    </row>
    <row r="360" spans="1:6" x14ac:dyDescent="0.2">
      <c r="A360" s="2">
        <v>335</v>
      </c>
      <c r="B360" s="2">
        <v>7976977.7814470483</v>
      </c>
      <c r="C360" s="2">
        <v>2326999.2185529517</v>
      </c>
      <c r="E360" s="2">
        <v>59.732142857142861</v>
      </c>
      <c r="F360" s="2">
        <v>254425</v>
      </c>
    </row>
    <row r="361" spans="1:6" x14ac:dyDescent="0.2">
      <c r="A361" s="2">
        <v>336</v>
      </c>
      <c r="B361" s="2">
        <v>1805080.537802102</v>
      </c>
      <c r="C361" s="2">
        <v>-1278955.537802102</v>
      </c>
      <c r="E361" s="2">
        <v>59.910714285714285</v>
      </c>
      <c r="F361" s="2">
        <v>257322</v>
      </c>
    </row>
    <row r="362" spans="1:6" x14ac:dyDescent="0.2">
      <c r="A362" s="2">
        <v>337</v>
      </c>
      <c r="B362" s="2">
        <v>-52922.148513626875</v>
      </c>
      <c r="C362" s="2">
        <v>53019.148513626875</v>
      </c>
      <c r="E362" s="2">
        <v>60.089285714285715</v>
      </c>
      <c r="F362" s="2">
        <v>259406</v>
      </c>
    </row>
    <row r="363" spans="1:6" x14ac:dyDescent="0.2">
      <c r="A363" s="2">
        <v>338</v>
      </c>
      <c r="B363" s="2">
        <v>328330.80916677834</v>
      </c>
      <c r="C363" s="2">
        <v>-202993.80916677834</v>
      </c>
      <c r="E363" s="2">
        <v>60.267857142857146</v>
      </c>
      <c r="F363" s="2">
        <v>267392</v>
      </c>
    </row>
    <row r="364" spans="1:6" x14ac:dyDescent="0.2">
      <c r="A364" s="2">
        <v>339</v>
      </c>
      <c r="B364" s="2">
        <v>241640.48963571066</v>
      </c>
      <c r="C364" s="2">
        <v>-154010.48963571066</v>
      </c>
      <c r="E364" s="2">
        <v>60.446428571428577</v>
      </c>
      <c r="F364" s="2">
        <v>275338</v>
      </c>
    </row>
    <row r="365" spans="1:6" x14ac:dyDescent="0.2">
      <c r="A365" s="2">
        <v>340</v>
      </c>
      <c r="B365" s="2">
        <v>267379.13746942306</v>
      </c>
      <c r="C365" s="2">
        <v>59803.862530576938</v>
      </c>
      <c r="E365" s="2">
        <v>60.625</v>
      </c>
      <c r="F365" s="2">
        <v>277893</v>
      </c>
    </row>
    <row r="366" spans="1:6" x14ac:dyDescent="0.2">
      <c r="A366" s="2">
        <v>341</v>
      </c>
      <c r="B366" s="2">
        <v>89742.410159050502</v>
      </c>
      <c r="C366" s="2">
        <v>54935.589840949498</v>
      </c>
      <c r="E366" s="2">
        <v>60.803571428571431</v>
      </c>
      <c r="F366" s="2">
        <v>280257</v>
      </c>
    </row>
    <row r="367" spans="1:6" x14ac:dyDescent="0.2">
      <c r="A367" s="2">
        <v>342</v>
      </c>
      <c r="B367" s="2">
        <v>1126.4701907363051</v>
      </c>
      <c r="C367" s="2">
        <v>63663.529809263695</v>
      </c>
      <c r="E367" s="2">
        <v>60.982142857142861</v>
      </c>
      <c r="F367" s="2">
        <v>281284</v>
      </c>
    </row>
    <row r="368" spans="1:6" x14ac:dyDescent="0.2">
      <c r="A368" s="2">
        <v>343</v>
      </c>
      <c r="B368" s="2">
        <v>385863.33688321488</v>
      </c>
      <c r="C368" s="2">
        <v>57910.663116785116</v>
      </c>
      <c r="E368" s="2">
        <v>61.160714285714285</v>
      </c>
      <c r="F368" s="2">
        <v>282465</v>
      </c>
    </row>
    <row r="369" spans="1:6" x14ac:dyDescent="0.2">
      <c r="A369" s="2">
        <v>344</v>
      </c>
      <c r="B369" s="2">
        <v>304175.25668705313</v>
      </c>
      <c r="C369" s="2">
        <v>162785.74331294687</v>
      </c>
      <c r="E369" s="2">
        <v>61.339285714285715</v>
      </c>
      <c r="F369" s="2">
        <v>282995</v>
      </c>
    </row>
    <row r="370" spans="1:6" x14ac:dyDescent="0.2">
      <c r="A370" s="2">
        <v>345</v>
      </c>
      <c r="B370" s="2">
        <v>7155.6740902527526</v>
      </c>
      <c r="C370" s="2">
        <v>52346.325909747247</v>
      </c>
      <c r="E370" s="2">
        <v>61.517857142857146</v>
      </c>
      <c r="F370" s="2">
        <v>284412</v>
      </c>
    </row>
    <row r="371" spans="1:6" x14ac:dyDescent="0.2">
      <c r="A371" s="2">
        <v>346</v>
      </c>
      <c r="B371" s="2">
        <v>1095990.8579632947</v>
      </c>
      <c r="C371" s="2">
        <v>971546.14203670528</v>
      </c>
      <c r="E371" s="2">
        <v>61.696428571428577</v>
      </c>
      <c r="F371" s="2">
        <v>287613</v>
      </c>
    </row>
    <row r="372" spans="1:6" x14ac:dyDescent="0.2">
      <c r="A372" s="2">
        <v>347</v>
      </c>
      <c r="B372" s="2">
        <v>9119.420723991203</v>
      </c>
      <c r="C372" s="2">
        <v>-2160.420723991203</v>
      </c>
      <c r="E372" s="2">
        <v>61.875</v>
      </c>
      <c r="F372" s="2">
        <v>288447</v>
      </c>
    </row>
    <row r="373" spans="1:6" x14ac:dyDescent="0.2">
      <c r="A373" s="2">
        <v>348</v>
      </c>
      <c r="B373" s="2">
        <v>-50920.886368564039</v>
      </c>
      <c r="C373" s="2">
        <v>73329.886368564039</v>
      </c>
      <c r="E373" s="2">
        <v>62.053571428571431</v>
      </c>
      <c r="F373" s="2">
        <v>289795</v>
      </c>
    </row>
    <row r="374" spans="1:6" x14ac:dyDescent="0.2">
      <c r="A374" s="2">
        <v>349</v>
      </c>
      <c r="B374" s="2">
        <v>-59559.539501510793</v>
      </c>
      <c r="C374" s="2">
        <v>59560.539501510793</v>
      </c>
      <c r="E374" s="2">
        <v>62.232142857142861</v>
      </c>
      <c r="F374" s="2">
        <v>299661</v>
      </c>
    </row>
    <row r="375" spans="1:6" x14ac:dyDescent="0.2">
      <c r="A375" s="2">
        <v>350</v>
      </c>
      <c r="B375" s="2">
        <v>54352.074730279717</v>
      </c>
      <c r="C375" s="2">
        <v>52441.925269720283</v>
      </c>
      <c r="E375" s="2">
        <v>62.410714285714285</v>
      </c>
      <c r="F375" s="2">
        <v>300469</v>
      </c>
    </row>
    <row r="376" spans="1:6" x14ac:dyDescent="0.2">
      <c r="A376" s="2">
        <v>351</v>
      </c>
      <c r="B376" s="2">
        <v>122473.07211090261</v>
      </c>
      <c r="C376" s="2">
        <v>51229.927889097395</v>
      </c>
      <c r="E376" s="2">
        <v>62.589285714285715</v>
      </c>
      <c r="F376" s="2">
        <v>320696</v>
      </c>
    </row>
    <row r="377" spans="1:6" x14ac:dyDescent="0.2">
      <c r="A377" s="2">
        <v>352</v>
      </c>
      <c r="B377" s="2">
        <v>3133822.7754020859</v>
      </c>
      <c r="C377" s="2">
        <v>397745.22459791414</v>
      </c>
      <c r="E377" s="2">
        <v>62.767857142857146</v>
      </c>
      <c r="F377" s="2">
        <v>321934</v>
      </c>
    </row>
    <row r="378" spans="1:6" x14ac:dyDescent="0.2">
      <c r="A378" s="2">
        <v>353</v>
      </c>
      <c r="B378" s="2">
        <v>-4142.6525196126713</v>
      </c>
      <c r="C378" s="2">
        <v>18895.652519612671</v>
      </c>
      <c r="E378" s="2">
        <v>62.946428571428577</v>
      </c>
      <c r="F378" s="2">
        <v>322429</v>
      </c>
    </row>
    <row r="379" spans="1:6" x14ac:dyDescent="0.2">
      <c r="A379" s="2">
        <v>354</v>
      </c>
      <c r="B379" s="2">
        <v>387082.76448578713</v>
      </c>
      <c r="C379" s="2">
        <v>-302279.76448578713</v>
      </c>
      <c r="E379" s="2">
        <v>63.125</v>
      </c>
      <c r="F379" s="2">
        <v>326247</v>
      </c>
    </row>
    <row r="380" spans="1:6" x14ac:dyDescent="0.2">
      <c r="A380" s="2">
        <v>355</v>
      </c>
      <c r="B380" s="2">
        <v>254877.14541498665</v>
      </c>
      <c r="C380" s="2">
        <v>2444.8545850133523</v>
      </c>
      <c r="E380" s="2">
        <v>63.303571428571431</v>
      </c>
      <c r="F380" s="2">
        <v>327183</v>
      </c>
    </row>
    <row r="381" spans="1:6" x14ac:dyDescent="0.2">
      <c r="A381" s="2">
        <v>356</v>
      </c>
      <c r="B381" s="2">
        <v>-38178.039088179939</v>
      </c>
      <c r="C381" s="2">
        <v>40763.039088179939</v>
      </c>
      <c r="E381" s="2">
        <v>63.482142857142861</v>
      </c>
      <c r="F381" s="2">
        <v>330353</v>
      </c>
    </row>
    <row r="382" spans="1:6" x14ac:dyDescent="0.2">
      <c r="A382" s="2">
        <v>357</v>
      </c>
      <c r="B382" s="2">
        <v>769509.08466509567</v>
      </c>
      <c r="C382" s="2">
        <v>157114.91533490433</v>
      </c>
      <c r="E382" s="2">
        <v>63.660714285714285</v>
      </c>
      <c r="F382" s="2">
        <v>334020</v>
      </c>
    </row>
    <row r="383" spans="1:6" x14ac:dyDescent="0.2">
      <c r="A383" s="2">
        <v>358</v>
      </c>
      <c r="B383" s="2">
        <v>200398.26187255137</v>
      </c>
      <c r="C383" s="2">
        <v>-137301.26187255137</v>
      </c>
      <c r="E383" s="2">
        <v>63.839285714285715</v>
      </c>
      <c r="F383" s="2">
        <v>359037</v>
      </c>
    </row>
    <row r="384" spans="1:6" x14ac:dyDescent="0.2">
      <c r="A384" s="2">
        <v>359</v>
      </c>
      <c r="B384" s="2">
        <v>28676.359872219662</v>
      </c>
      <c r="C384" s="2">
        <v>78048.640127780338</v>
      </c>
      <c r="E384" s="2">
        <v>64.017857142857139</v>
      </c>
      <c r="F384" s="2">
        <v>369006</v>
      </c>
    </row>
    <row r="385" spans="1:6" x14ac:dyDescent="0.2">
      <c r="A385" s="2">
        <v>360</v>
      </c>
      <c r="B385" s="2">
        <v>-41129.402719702113</v>
      </c>
      <c r="C385" s="2">
        <v>42584.402719702113</v>
      </c>
      <c r="E385" s="2">
        <v>64.196428571428569</v>
      </c>
      <c r="F385" s="2">
        <v>372095</v>
      </c>
    </row>
    <row r="386" spans="1:6" x14ac:dyDescent="0.2">
      <c r="A386" s="2">
        <v>361</v>
      </c>
      <c r="B386" s="2">
        <v>757754.46506766276</v>
      </c>
      <c r="C386" s="2">
        <v>274036.53493233724</v>
      </c>
      <c r="E386" s="2">
        <v>64.375</v>
      </c>
      <c r="F386" s="2">
        <v>377674</v>
      </c>
    </row>
    <row r="387" spans="1:6" x14ac:dyDescent="0.2">
      <c r="A387" s="2">
        <v>362</v>
      </c>
      <c r="B387" s="2">
        <v>2335964.0401238292</v>
      </c>
      <c r="C387" s="2">
        <v>-468251.04012382915</v>
      </c>
      <c r="E387" s="2">
        <v>64.553571428571431</v>
      </c>
      <c r="F387" s="2">
        <v>388109</v>
      </c>
    </row>
    <row r="388" spans="1:6" x14ac:dyDescent="0.2">
      <c r="A388" s="2">
        <v>363</v>
      </c>
      <c r="B388" s="2">
        <v>254358.53013693434</v>
      </c>
      <c r="C388" s="2">
        <v>268777.46986306563</v>
      </c>
      <c r="E388" s="2">
        <v>64.732142857142847</v>
      </c>
      <c r="F388" s="2">
        <v>398439</v>
      </c>
    </row>
    <row r="389" spans="1:6" x14ac:dyDescent="0.2">
      <c r="A389" s="2">
        <v>364</v>
      </c>
      <c r="B389" s="2">
        <v>55086.738455119274</v>
      </c>
      <c r="C389" s="2">
        <v>53129.261544880726</v>
      </c>
      <c r="E389" s="2">
        <v>64.910714285714278</v>
      </c>
      <c r="F389" s="2">
        <v>402347</v>
      </c>
    </row>
    <row r="390" spans="1:6" x14ac:dyDescent="0.2">
      <c r="A390" s="2">
        <v>365</v>
      </c>
      <c r="B390" s="2">
        <v>3137128.762163864</v>
      </c>
      <c r="C390" s="2">
        <v>473618.23783613602</v>
      </c>
      <c r="E390" s="2">
        <v>65.089285714285708</v>
      </c>
      <c r="F390" s="2">
        <v>424676</v>
      </c>
    </row>
    <row r="391" spans="1:6" x14ac:dyDescent="0.2">
      <c r="A391" s="2">
        <v>366</v>
      </c>
      <c r="B391" s="2">
        <v>419775.3002411474</v>
      </c>
      <c r="C391" s="2">
        <v>-284750.3002411474</v>
      </c>
      <c r="E391" s="2">
        <v>65.267857142857139</v>
      </c>
      <c r="F391" s="2">
        <v>427200</v>
      </c>
    </row>
    <row r="392" spans="1:6" x14ac:dyDescent="0.2">
      <c r="A392" s="2">
        <v>367</v>
      </c>
      <c r="B392" s="2">
        <v>170758.14892085749</v>
      </c>
      <c r="C392" s="2">
        <v>6052.8510791425069</v>
      </c>
      <c r="E392" s="2">
        <v>65.446428571428569</v>
      </c>
      <c r="F392" s="2">
        <v>443774</v>
      </c>
    </row>
    <row r="393" spans="1:6" x14ac:dyDescent="0.2">
      <c r="A393" s="2">
        <v>368</v>
      </c>
      <c r="B393" s="2">
        <v>3705275.5533674499</v>
      </c>
      <c r="C393" s="2">
        <v>1175083.4466325501</v>
      </c>
      <c r="E393" s="2">
        <v>65.625</v>
      </c>
      <c r="F393" s="2">
        <v>452202</v>
      </c>
    </row>
    <row r="394" spans="1:6" x14ac:dyDescent="0.2">
      <c r="A394" s="2">
        <v>369</v>
      </c>
      <c r="B394" s="2">
        <v>363206.19342850154</v>
      </c>
      <c r="C394" s="2">
        <v>-304154.19342850154</v>
      </c>
      <c r="E394" s="2">
        <v>65.803571428571431</v>
      </c>
      <c r="F394" s="2">
        <v>452486</v>
      </c>
    </row>
    <row r="395" spans="1:6" x14ac:dyDescent="0.2">
      <c r="A395" s="2">
        <v>370</v>
      </c>
      <c r="B395" s="2">
        <v>2310314.9641004321</v>
      </c>
      <c r="C395" s="2">
        <v>-1664354.9641004321</v>
      </c>
      <c r="E395" s="2">
        <v>65.982142857142847</v>
      </c>
      <c r="F395" s="2">
        <v>456619</v>
      </c>
    </row>
    <row r="396" spans="1:6" x14ac:dyDescent="0.2">
      <c r="A396" s="2">
        <v>371</v>
      </c>
      <c r="B396" s="2">
        <v>437407.22963729675</v>
      </c>
      <c r="C396" s="2">
        <v>-274257.22963729675</v>
      </c>
      <c r="E396" s="2">
        <v>66.160714285714278</v>
      </c>
      <c r="F396" s="2">
        <v>460787</v>
      </c>
    </row>
    <row r="397" spans="1:6" x14ac:dyDescent="0.2">
      <c r="A397" s="2">
        <v>372</v>
      </c>
      <c r="B397" s="2">
        <v>3950653.2374638617</v>
      </c>
      <c r="C397" s="2">
        <v>1336233.7625361383</v>
      </c>
      <c r="E397" s="2">
        <v>66.339285714285708</v>
      </c>
      <c r="F397" s="2">
        <v>463124</v>
      </c>
    </row>
    <row r="398" spans="1:6" x14ac:dyDescent="0.2">
      <c r="A398" s="2">
        <v>373</v>
      </c>
      <c r="B398" s="2">
        <v>-41496.734582121891</v>
      </c>
      <c r="C398" s="2">
        <v>42559.734582121891</v>
      </c>
      <c r="E398" s="2">
        <v>66.517857142857139</v>
      </c>
      <c r="F398" s="2">
        <v>465849</v>
      </c>
    </row>
    <row r="399" spans="1:6" x14ac:dyDescent="0.2">
      <c r="A399" s="2">
        <v>374</v>
      </c>
      <c r="B399" s="2">
        <v>2334875.9746390684</v>
      </c>
      <c r="C399" s="2">
        <v>-1690758.9746390684</v>
      </c>
      <c r="E399" s="2">
        <v>66.696428571428569</v>
      </c>
      <c r="F399" s="2">
        <v>466961</v>
      </c>
    </row>
    <row r="400" spans="1:6" x14ac:dyDescent="0.2">
      <c r="A400" s="2">
        <v>375</v>
      </c>
      <c r="B400" s="2">
        <v>-34720.158225601939</v>
      </c>
      <c r="C400" s="2">
        <v>63388.158225601939</v>
      </c>
      <c r="E400" s="2">
        <v>66.875</v>
      </c>
      <c r="F400" s="2">
        <v>477921</v>
      </c>
    </row>
    <row r="401" spans="1:6" x14ac:dyDescent="0.2">
      <c r="A401" s="2">
        <v>376</v>
      </c>
      <c r="B401" s="2">
        <v>329331.74558189348</v>
      </c>
      <c r="C401" s="2">
        <v>131455.25441810652</v>
      </c>
      <c r="E401" s="2">
        <v>67.053571428571431</v>
      </c>
      <c r="F401" s="2">
        <v>480382</v>
      </c>
    </row>
    <row r="402" spans="1:6" x14ac:dyDescent="0.2">
      <c r="A402" s="2">
        <v>377</v>
      </c>
      <c r="B402" s="2">
        <v>-30844.110571948331</v>
      </c>
      <c r="C402" s="2">
        <v>39615.110571948331</v>
      </c>
      <c r="E402" s="2">
        <v>67.232142857142847</v>
      </c>
      <c r="F402" s="2">
        <v>486542</v>
      </c>
    </row>
    <row r="403" spans="1:6" x14ac:dyDescent="0.2">
      <c r="A403" s="2">
        <v>378</v>
      </c>
      <c r="B403" s="2">
        <v>12121.00859900174</v>
      </c>
      <c r="C403" s="2">
        <v>155406.99140099826</v>
      </c>
      <c r="E403" s="2">
        <v>67.410714285714278</v>
      </c>
      <c r="F403" s="2">
        <v>488233</v>
      </c>
    </row>
    <row r="404" spans="1:6" x14ac:dyDescent="0.2">
      <c r="A404" s="2">
        <v>379</v>
      </c>
      <c r="B404" s="2">
        <v>2845884.8195084683</v>
      </c>
      <c r="C404" s="2">
        <v>2875621.1804915317</v>
      </c>
      <c r="E404" s="2">
        <v>67.589285714285708</v>
      </c>
      <c r="F404" s="2">
        <v>495749</v>
      </c>
    </row>
    <row r="405" spans="1:6" x14ac:dyDescent="0.2">
      <c r="A405" s="2">
        <v>380</v>
      </c>
      <c r="B405" s="2">
        <v>-36721.420370664775</v>
      </c>
      <c r="C405" s="2">
        <v>41162.420370664775</v>
      </c>
      <c r="E405" s="2">
        <v>67.767857142857139</v>
      </c>
      <c r="F405" s="2">
        <v>497012</v>
      </c>
    </row>
    <row r="406" spans="1:6" x14ac:dyDescent="0.2">
      <c r="A406" s="2">
        <v>381</v>
      </c>
      <c r="B406" s="2">
        <v>1035306.0696413824</v>
      </c>
      <c r="C406" s="2">
        <v>159132.93035861757</v>
      </c>
      <c r="E406" s="2">
        <v>67.946428571428569</v>
      </c>
      <c r="F406" s="2">
        <v>502401</v>
      </c>
    </row>
    <row r="407" spans="1:6" x14ac:dyDescent="0.2">
      <c r="A407" s="2">
        <v>382</v>
      </c>
      <c r="B407" s="2">
        <v>176622.74998740997</v>
      </c>
      <c r="C407" s="2">
        <v>-109255.74998740997</v>
      </c>
      <c r="E407" s="2">
        <v>68.125</v>
      </c>
      <c r="F407" s="2">
        <v>508517</v>
      </c>
    </row>
    <row r="408" spans="1:6" x14ac:dyDescent="0.2">
      <c r="A408" s="2">
        <v>383</v>
      </c>
      <c r="B408" s="2">
        <v>147769.96774471385</v>
      </c>
      <c r="C408" s="2">
        <v>-124555.96774471385</v>
      </c>
      <c r="E408" s="2">
        <v>68.303571428571431</v>
      </c>
      <c r="F408" s="2">
        <v>512483</v>
      </c>
    </row>
    <row r="409" spans="1:6" x14ac:dyDescent="0.2">
      <c r="A409" s="2">
        <v>384</v>
      </c>
      <c r="B409" s="2">
        <v>1356303.8931527799</v>
      </c>
      <c r="C409" s="2">
        <v>-997266.8931527799</v>
      </c>
      <c r="E409" s="2">
        <v>68.482142857142847</v>
      </c>
      <c r="F409" s="2">
        <v>523136</v>
      </c>
    </row>
    <row r="410" spans="1:6" x14ac:dyDescent="0.2">
      <c r="A410" s="2">
        <v>385</v>
      </c>
      <c r="B410" s="2">
        <v>2322804.2474227045</v>
      </c>
      <c r="C410" s="2">
        <v>-1673026.2474227045</v>
      </c>
      <c r="E410" s="2">
        <v>68.660714285714278</v>
      </c>
      <c r="F410" s="2">
        <v>524194</v>
      </c>
    </row>
    <row r="411" spans="1:6" x14ac:dyDescent="0.2">
      <c r="A411" s="2">
        <v>386</v>
      </c>
      <c r="B411" s="2">
        <v>14350.41723784832</v>
      </c>
      <c r="C411" s="2">
        <v>73478.58276215168</v>
      </c>
      <c r="E411" s="2">
        <v>68.839285714285708</v>
      </c>
      <c r="F411" s="2">
        <v>526125</v>
      </c>
    </row>
    <row r="412" spans="1:6" x14ac:dyDescent="0.2">
      <c r="A412" s="2">
        <v>387</v>
      </c>
      <c r="B412" s="2">
        <v>324101.35975320381</v>
      </c>
      <c r="C412" s="2">
        <v>-35654.359753203811</v>
      </c>
      <c r="E412" s="2">
        <v>69.017857142857139</v>
      </c>
      <c r="F412" s="2">
        <v>538830</v>
      </c>
    </row>
    <row r="413" spans="1:6" x14ac:dyDescent="0.2">
      <c r="A413" s="2">
        <v>388</v>
      </c>
      <c r="B413" s="2">
        <v>125563.62111106083</v>
      </c>
      <c r="C413" s="2">
        <v>-83348.621111060827</v>
      </c>
      <c r="E413" s="2">
        <v>69.196428571428569</v>
      </c>
      <c r="F413" s="2">
        <v>548582</v>
      </c>
    </row>
    <row r="414" spans="1:6" x14ac:dyDescent="0.2">
      <c r="A414" s="2">
        <v>389</v>
      </c>
      <c r="B414" s="2">
        <v>-2179.5165710416913</v>
      </c>
      <c r="C414" s="2">
        <v>49971.516571041691</v>
      </c>
      <c r="E414" s="2">
        <v>69.375</v>
      </c>
      <c r="F414" s="2">
        <v>552907</v>
      </c>
    </row>
    <row r="415" spans="1:6" x14ac:dyDescent="0.2">
      <c r="A415" s="2">
        <v>390</v>
      </c>
      <c r="B415" s="2">
        <v>49930.772963910975</v>
      </c>
      <c r="C415" s="2">
        <v>-21517.772963910975</v>
      </c>
      <c r="E415" s="2">
        <v>69.553571428571431</v>
      </c>
      <c r="F415" s="2">
        <v>555995</v>
      </c>
    </row>
    <row r="416" spans="1:6" x14ac:dyDescent="0.2">
      <c r="A416" s="2">
        <v>391</v>
      </c>
      <c r="B416" s="2">
        <v>332738.79151581565</v>
      </c>
      <c r="C416" s="2">
        <v>-217935.79151581565</v>
      </c>
      <c r="E416" s="2">
        <v>69.732142857142847</v>
      </c>
      <c r="F416" s="2">
        <v>563175</v>
      </c>
    </row>
    <row r="417" spans="1:6" x14ac:dyDescent="0.2">
      <c r="A417" s="2">
        <v>392</v>
      </c>
      <c r="B417" s="2">
        <v>149239.29519439297</v>
      </c>
      <c r="C417" s="2">
        <v>-127747.29519439297</v>
      </c>
      <c r="E417" s="2">
        <v>69.910714285714278</v>
      </c>
      <c r="F417" s="2">
        <v>577345</v>
      </c>
    </row>
    <row r="418" spans="1:6" x14ac:dyDescent="0.2">
      <c r="A418" s="2">
        <v>393</v>
      </c>
      <c r="B418" s="2">
        <v>163007.27498388523</v>
      </c>
      <c r="C418" s="2">
        <v>-73617.274983885232</v>
      </c>
      <c r="E418" s="2">
        <v>70.089285714285708</v>
      </c>
      <c r="F418" s="2">
        <v>578774</v>
      </c>
    </row>
    <row r="419" spans="1:6" x14ac:dyDescent="0.2">
      <c r="A419" s="2">
        <v>394</v>
      </c>
      <c r="B419" s="2">
        <v>3392107.298926678</v>
      </c>
      <c r="C419" s="2">
        <v>-2437130.298926678</v>
      </c>
      <c r="E419" s="2">
        <v>70.267857142857139</v>
      </c>
      <c r="F419" s="2">
        <v>589126</v>
      </c>
    </row>
    <row r="420" spans="1:6" x14ac:dyDescent="0.2">
      <c r="A420" s="2">
        <v>395</v>
      </c>
      <c r="B420" s="2">
        <v>5446.1020997934211</v>
      </c>
      <c r="C420" s="2">
        <v>904.89790020657892</v>
      </c>
      <c r="E420" s="2">
        <v>70.446428571428569</v>
      </c>
      <c r="F420" s="2">
        <v>599726</v>
      </c>
    </row>
    <row r="421" spans="1:6" x14ac:dyDescent="0.2">
      <c r="A421" s="2">
        <v>396</v>
      </c>
      <c r="B421" s="2">
        <v>82117.402173382856</v>
      </c>
      <c r="C421" s="2">
        <v>22069.597826617144</v>
      </c>
      <c r="E421" s="2">
        <v>70.625</v>
      </c>
      <c r="F421" s="2">
        <v>601747</v>
      </c>
    </row>
    <row r="422" spans="1:6" x14ac:dyDescent="0.2">
      <c r="A422" s="2">
        <v>397</v>
      </c>
      <c r="B422" s="2">
        <v>37201.245100858287</v>
      </c>
      <c r="C422" s="2">
        <v>129780.75489914171</v>
      </c>
      <c r="E422" s="2">
        <v>70.803571428571431</v>
      </c>
      <c r="F422" s="2">
        <v>606461</v>
      </c>
    </row>
    <row r="423" spans="1:6" x14ac:dyDescent="0.2">
      <c r="A423" s="2">
        <v>398</v>
      </c>
      <c r="B423" s="2">
        <v>294181.65469390294</v>
      </c>
      <c r="C423" s="2">
        <v>208219.34530609706</v>
      </c>
      <c r="E423" s="2">
        <v>70.982142857142847</v>
      </c>
      <c r="F423" s="2">
        <v>608480</v>
      </c>
    </row>
    <row r="424" spans="1:6" x14ac:dyDescent="0.2">
      <c r="A424" s="2">
        <v>399</v>
      </c>
      <c r="B424" s="2">
        <v>57049.874403690264</v>
      </c>
      <c r="C424" s="2">
        <v>23693.125596309736</v>
      </c>
      <c r="E424" s="2">
        <v>71.160714285714278</v>
      </c>
      <c r="F424" s="2">
        <v>609145</v>
      </c>
    </row>
    <row r="425" spans="1:6" x14ac:dyDescent="0.2">
      <c r="A425" s="2">
        <v>400</v>
      </c>
      <c r="B425" s="2">
        <v>114910.38641571981</v>
      </c>
      <c r="C425" s="2">
        <v>122475.61358428019</v>
      </c>
      <c r="E425" s="2">
        <v>71.339285714285708</v>
      </c>
      <c r="F425" s="2">
        <v>637774</v>
      </c>
    </row>
    <row r="426" spans="1:6" x14ac:dyDescent="0.2">
      <c r="A426" s="2">
        <v>401</v>
      </c>
      <c r="B426" s="2">
        <v>194520.95207383492</v>
      </c>
      <c r="C426" s="2">
        <v>2645.0479261650762</v>
      </c>
      <c r="E426" s="2">
        <v>71.517857142857139</v>
      </c>
      <c r="F426" s="2">
        <v>638352</v>
      </c>
    </row>
    <row r="427" spans="1:6" x14ac:dyDescent="0.2">
      <c r="A427" s="2">
        <v>402</v>
      </c>
      <c r="B427" s="2">
        <v>2291948.3709794432</v>
      </c>
      <c r="C427" s="2">
        <v>-1653596.3709794432</v>
      </c>
      <c r="E427" s="2">
        <v>71.696428571428569</v>
      </c>
      <c r="F427" s="2">
        <v>639688</v>
      </c>
    </row>
    <row r="428" spans="1:6" x14ac:dyDescent="0.2">
      <c r="A428" s="2">
        <v>403</v>
      </c>
      <c r="B428" s="2">
        <v>1617462.9172307432</v>
      </c>
      <c r="C428" s="2">
        <v>-193990.91723074322</v>
      </c>
      <c r="E428" s="2">
        <v>71.875</v>
      </c>
      <c r="F428" s="2">
        <v>640980</v>
      </c>
    </row>
    <row r="429" spans="1:6" x14ac:dyDescent="0.2">
      <c r="A429" s="2">
        <v>404</v>
      </c>
      <c r="B429" s="2">
        <v>660943.4562218053</v>
      </c>
      <c r="C429" s="2">
        <v>441367.5437781947</v>
      </c>
      <c r="E429" s="2">
        <v>72.053571428571431</v>
      </c>
      <c r="F429" s="2">
        <v>642798</v>
      </c>
    </row>
    <row r="430" spans="1:6" x14ac:dyDescent="0.2">
      <c r="A430" s="2">
        <v>405</v>
      </c>
      <c r="B430" s="2">
        <v>4705152.8828740856</v>
      </c>
      <c r="C430" s="2">
        <v>1329773.1171259144</v>
      </c>
      <c r="E430" s="2">
        <v>72.232142857142847</v>
      </c>
      <c r="F430" s="2">
        <v>643397</v>
      </c>
    </row>
    <row r="431" spans="1:6" x14ac:dyDescent="0.2">
      <c r="A431" s="2">
        <v>406</v>
      </c>
      <c r="B431" s="2">
        <v>970971.54810409795</v>
      </c>
      <c r="C431" s="2">
        <v>1204746.4518959019</v>
      </c>
      <c r="E431" s="2">
        <v>72.410714285714278</v>
      </c>
      <c r="F431" s="2">
        <v>644117</v>
      </c>
    </row>
    <row r="432" spans="1:6" x14ac:dyDescent="0.2">
      <c r="A432" s="2">
        <v>407</v>
      </c>
      <c r="B432" s="2">
        <v>138548.54498772754</v>
      </c>
      <c r="C432" s="2">
        <v>-132750.54498772754</v>
      </c>
      <c r="E432" s="2">
        <v>72.589285714285708</v>
      </c>
      <c r="F432" s="2">
        <v>644742</v>
      </c>
    </row>
    <row r="433" spans="1:6" x14ac:dyDescent="0.2">
      <c r="A433" s="2">
        <v>408</v>
      </c>
      <c r="B433" s="2">
        <v>326671.46141980734</v>
      </c>
      <c r="C433" s="2">
        <v>354332.53858019266</v>
      </c>
      <c r="E433" s="2">
        <v>72.767857142857139</v>
      </c>
      <c r="F433" s="2">
        <v>645960</v>
      </c>
    </row>
    <row r="434" spans="1:6" x14ac:dyDescent="0.2">
      <c r="A434" s="2">
        <v>409</v>
      </c>
      <c r="B434" s="2">
        <v>743061.19057087169</v>
      </c>
      <c r="C434" s="2">
        <v>-18825.190570871695</v>
      </c>
      <c r="E434" s="2">
        <v>72.946428571428569</v>
      </c>
      <c r="F434" s="2">
        <v>646971</v>
      </c>
    </row>
    <row r="435" spans="1:6" x14ac:dyDescent="0.2">
      <c r="A435" s="2">
        <v>410</v>
      </c>
      <c r="B435" s="2">
        <v>764733.77045363851</v>
      </c>
      <c r="C435" s="2">
        <v>-543967.77045363851</v>
      </c>
      <c r="E435" s="2">
        <v>73.125</v>
      </c>
      <c r="F435" s="2">
        <v>649741</v>
      </c>
    </row>
    <row r="436" spans="1:6" x14ac:dyDescent="0.2">
      <c r="A436" s="2">
        <v>411</v>
      </c>
      <c r="B436" s="2">
        <v>328676.99836104241</v>
      </c>
      <c r="C436" s="2">
        <v>-307276.99836104241</v>
      </c>
      <c r="E436" s="2">
        <v>73.303571428571431</v>
      </c>
      <c r="F436" s="2">
        <v>649771</v>
      </c>
    </row>
    <row r="437" spans="1:6" x14ac:dyDescent="0.2">
      <c r="A437" s="2">
        <v>412</v>
      </c>
      <c r="B437" s="2">
        <v>1669535.0805692039</v>
      </c>
      <c r="C437" s="2">
        <v>-1182993.0805692039</v>
      </c>
      <c r="E437" s="2">
        <v>73.482142857142847</v>
      </c>
      <c r="F437" s="2">
        <v>649778</v>
      </c>
    </row>
    <row r="438" spans="1:6" x14ac:dyDescent="0.2">
      <c r="A438" s="2">
        <v>413</v>
      </c>
      <c r="B438" s="2">
        <v>-8031.4089054302276</v>
      </c>
      <c r="C438" s="2">
        <v>38320.408905430231</v>
      </c>
      <c r="E438" s="2">
        <v>73.660714285714278</v>
      </c>
      <c r="F438" s="2">
        <v>650180</v>
      </c>
    </row>
    <row r="439" spans="1:6" x14ac:dyDescent="0.2">
      <c r="A439" s="2">
        <v>414</v>
      </c>
      <c r="B439" s="2">
        <v>3340515.0139846103</v>
      </c>
      <c r="C439" s="2">
        <v>1073885.9860153897</v>
      </c>
      <c r="E439" s="2">
        <v>73.839285714285708</v>
      </c>
      <c r="F439" s="2">
        <v>650317</v>
      </c>
    </row>
    <row r="440" spans="1:6" x14ac:dyDescent="0.2">
      <c r="A440" s="2">
        <v>415</v>
      </c>
      <c r="B440" s="2">
        <v>155532.93972868263</v>
      </c>
      <c r="C440" s="2">
        <v>92821.060271317372</v>
      </c>
      <c r="E440" s="2">
        <v>74.017857142857139</v>
      </c>
      <c r="F440" s="2">
        <v>652678</v>
      </c>
    </row>
    <row r="441" spans="1:6" x14ac:dyDescent="0.2">
      <c r="A441" s="2">
        <v>416</v>
      </c>
      <c r="B441" s="2">
        <v>1371946.0477656957</v>
      </c>
      <c r="C441" s="2">
        <v>-176214.04776569572</v>
      </c>
      <c r="E441" s="2">
        <v>74.196428571428569</v>
      </c>
      <c r="F441" s="2">
        <v>653494</v>
      </c>
    </row>
    <row r="442" spans="1:6" x14ac:dyDescent="0.2">
      <c r="A442" s="2">
        <v>417</v>
      </c>
      <c r="B442" s="2">
        <v>89007.746434210945</v>
      </c>
      <c r="C442" s="2">
        <v>54324.253565789055</v>
      </c>
      <c r="E442" s="2">
        <v>74.375</v>
      </c>
      <c r="F442" s="2">
        <v>675371</v>
      </c>
    </row>
    <row r="443" spans="1:6" x14ac:dyDescent="0.2">
      <c r="A443" s="2">
        <v>418</v>
      </c>
      <c r="B443" s="2">
        <v>135280.68442244141</v>
      </c>
      <c r="C443" s="2">
        <v>-124738.68442244141</v>
      </c>
      <c r="E443" s="2">
        <v>74.553571428571431</v>
      </c>
      <c r="F443" s="2">
        <v>681004</v>
      </c>
    </row>
    <row r="444" spans="1:6" x14ac:dyDescent="0.2">
      <c r="A444" s="2">
        <v>419</v>
      </c>
      <c r="B444" s="2">
        <v>301236.60178769496</v>
      </c>
      <c r="C444" s="2">
        <v>161887.39821230504</v>
      </c>
      <c r="E444" s="2">
        <v>74.732142857142847</v>
      </c>
      <c r="F444" s="2">
        <v>685838</v>
      </c>
    </row>
    <row r="445" spans="1:6" x14ac:dyDescent="0.2">
      <c r="A445" s="2">
        <v>420</v>
      </c>
      <c r="B445" s="2">
        <v>1444259.5897337361</v>
      </c>
      <c r="C445" s="2">
        <v>-888264.58973373612</v>
      </c>
      <c r="E445" s="2">
        <v>74.910714285714278</v>
      </c>
      <c r="F445" s="2">
        <v>724236</v>
      </c>
    </row>
    <row r="446" spans="1:6" x14ac:dyDescent="0.2">
      <c r="A446" s="2">
        <v>421</v>
      </c>
      <c r="B446" s="2">
        <v>-1444.852846202135</v>
      </c>
      <c r="C446" s="2">
        <v>49990.852846202135</v>
      </c>
      <c r="E446" s="2">
        <v>75.089285714285708</v>
      </c>
      <c r="F446" s="2">
        <v>744960</v>
      </c>
    </row>
    <row r="447" spans="1:6" x14ac:dyDescent="0.2">
      <c r="A447" s="2">
        <v>422</v>
      </c>
      <c r="B447" s="2">
        <v>-56798.196167280483</v>
      </c>
      <c r="C447" s="2">
        <v>58859.196167280483</v>
      </c>
      <c r="E447" s="2">
        <v>75.267857142857139</v>
      </c>
      <c r="F447" s="2">
        <v>757469</v>
      </c>
    </row>
    <row r="448" spans="1:6" x14ac:dyDescent="0.2">
      <c r="A448" s="2">
        <v>423</v>
      </c>
      <c r="B448" s="2">
        <v>1701860.2844621446</v>
      </c>
      <c r="C448" s="2">
        <v>-1206111.2844621446</v>
      </c>
      <c r="E448" s="2">
        <v>75.446428571428569</v>
      </c>
      <c r="F448" s="2">
        <v>763826</v>
      </c>
    </row>
    <row r="449" spans="1:6" x14ac:dyDescent="0.2">
      <c r="A449" s="2">
        <v>424</v>
      </c>
      <c r="B449" s="2">
        <v>15253720.916810706</v>
      </c>
      <c r="C449" s="2">
        <v>-11000638.916810706</v>
      </c>
      <c r="E449" s="2">
        <v>75.625</v>
      </c>
      <c r="F449" s="2">
        <v>771645</v>
      </c>
    </row>
    <row r="450" spans="1:6" x14ac:dyDescent="0.2">
      <c r="A450" s="2">
        <v>425</v>
      </c>
      <c r="B450" s="2">
        <v>41381.080956111895</v>
      </c>
      <c r="C450" s="2">
        <v>42027.919043888105</v>
      </c>
      <c r="E450" s="2">
        <v>75.803571428571431</v>
      </c>
      <c r="F450" s="2">
        <v>776680</v>
      </c>
    </row>
    <row r="451" spans="1:6" x14ac:dyDescent="0.2">
      <c r="A451" s="2">
        <v>426</v>
      </c>
      <c r="B451" s="2">
        <v>51945.354526305229</v>
      </c>
      <c r="C451" s="2">
        <v>21205.645473694771</v>
      </c>
      <c r="E451" s="2">
        <v>75.982142857142847</v>
      </c>
      <c r="F451" s="2">
        <v>776720</v>
      </c>
    </row>
    <row r="452" spans="1:6" x14ac:dyDescent="0.2">
      <c r="A452" s="2">
        <v>427</v>
      </c>
      <c r="B452" s="2">
        <v>303807.9248246334</v>
      </c>
      <c r="C452" s="2">
        <v>-205953.9248246334</v>
      </c>
      <c r="E452" s="2">
        <v>76.160714285714278</v>
      </c>
      <c r="F452" s="2">
        <v>776930</v>
      </c>
    </row>
    <row r="453" spans="1:6" x14ac:dyDescent="0.2">
      <c r="A453" s="2">
        <v>428</v>
      </c>
      <c r="B453" s="2">
        <v>11716.161225257561</v>
      </c>
      <c r="C453" s="2">
        <v>37914.838774742442</v>
      </c>
      <c r="E453" s="2">
        <v>76.339285714285708</v>
      </c>
      <c r="F453" s="2">
        <v>783180</v>
      </c>
    </row>
    <row r="454" spans="1:6" x14ac:dyDescent="0.2">
      <c r="A454" s="2">
        <v>429</v>
      </c>
      <c r="B454" s="2">
        <v>-24586.760178648154</v>
      </c>
      <c r="C454" s="2">
        <v>35375.760178648154</v>
      </c>
      <c r="E454" s="2">
        <v>76.517857142857139</v>
      </c>
      <c r="F454" s="2">
        <v>784901</v>
      </c>
    </row>
    <row r="455" spans="1:6" x14ac:dyDescent="0.2">
      <c r="A455" s="2">
        <v>430</v>
      </c>
      <c r="B455" s="2">
        <v>120978.3271968956</v>
      </c>
      <c r="C455" s="2">
        <v>72685.672803104404</v>
      </c>
      <c r="E455" s="2">
        <v>76.696428571428569</v>
      </c>
      <c r="F455" s="2">
        <v>792413</v>
      </c>
    </row>
    <row r="456" spans="1:6" x14ac:dyDescent="0.2">
      <c r="A456" s="2">
        <v>431</v>
      </c>
      <c r="B456" s="2">
        <v>6427571.9857604252</v>
      </c>
      <c r="C456" s="2">
        <v>-4599399.9857604252</v>
      </c>
      <c r="E456" s="2">
        <v>76.875</v>
      </c>
      <c r="F456" s="2">
        <v>794747</v>
      </c>
    </row>
    <row r="457" spans="1:6" x14ac:dyDescent="0.2">
      <c r="A457" s="2">
        <v>432</v>
      </c>
      <c r="B457" s="2">
        <v>2603634.5892383717</v>
      </c>
      <c r="C457" s="2">
        <v>-1846165.5892383717</v>
      </c>
      <c r="E457" s="2">
        <v>77.053571428571431</v>
      </c>
      <c r="F457" s="2">
        <v>806803</v>
      </c>
    </row>
    <row r="458" spans="1:6" x14ac:dyDescent="0.2">
      <c r="A458" s="2">
        <v>433</v>
      </c>
      <c r="B458" s="2">
        <v>-24561.342714320239</v>
      </c>
      <c r="C458" s="2">
        <v>35602.342714320243</v>
      </c>
      <c r="E458" s="2">
        <v>77.232142857142847</v>
      </c>
      <c r="F458" s="2">
        <v>907794</v>
      </c>
    </row>
    <row r="459" spans="1:6" x14ac:dyDescent="0.2">
      <c r="A459" s="2">
        <v>434</v>
      </c>
      <c r="B459" s="2">
        <v>47625.722617248117</v>
      </c>
      <c r="C459" s="2">
        <v>45792.277382751883</v>
      </c>
      <c r="E459" s="2">
        <v>77.410714285714278</v>
      </c>
      <c r="F459" s="2">
        <v>926624</v>
      </c>
    </row>
    <row r="460" spans="1:6" x14ac:dyDescent="0.2">
      <c r="A460" s="2">
        <v>435</v>
      </c>
      <c r="B460" s="2">
        <v>67208.689914971939</v>
      </c>
      <c r="C460" s="2">
        <v>64415.310085028061</v>
      </c>
      <c r="E460" s="2">
        <v>77.589285714285708</v>
      </c>
      <c r="F460" s="2">
        <v>936465</v>
      </c>
    </row>
    <row r="461" spans="1:6" x14ac:dyDescent="0.2">
      <c r="A461" s="2">
        <v>436</v>
      </c>
      <c r="B461" s="2">
        <v>13983.085375428542</v>
      </c>
      <c r="C461" s="2">
        <v>67473.914624571451</v>
      </c>
      <c r="E461" s="2">
        <v>77.767857142857139</v>
      </c>
      <c r="F461" s="2">
        <v>950949</v>
      </c>
    </row>
    <row r="462" spans="1:6" x14ac:dyDescent="0.2">
      <c r="A462" s="2">
        <v>437</v>
      </c>
      <c r="B462" s="2">
        <v>361736.86597882246</v>
      </c>
      <c r="C462" s="2">
        <v>-302114.86597882246</v>
      </c>
      <c r="E462" s="2">
        <v>77.946428571428569</v>
      </c>
      <c r="F462" s="2">
        <v>951631</v>
      </c>
    </row>
    <row r="463" spans="1:6" x14ac:dyDescent="0.2">
      <c r="A463" s="2">
        <v>438</v>
      </c>
      <c r="B463" s="2">
        <v>5922123.3430708107</v>
      </c>
      <c r="C463" s="2">
        <v>-4234822.3430708107</v>
      </c>
      <c r="E463" s="2">
        <v>78.125</v>
      </c>
      <c r="F463" s="2">
        <v>954977</v>
      </c>
    </row>
    <row r="464" spans="1:6" x14ac:dyDescent="0.2">
      <c r="A464" s="2">
        <v>439</v>
      </c>
      <c r="B464" s="2">
        <v>55618.062465335541</v>
      </c>
      <c r="C464" s="2">
        <v>203787.93753466447</v>
      </c>
      <c r="E464" s="2">
        <v>78.303571428571431</v>
      </c>
      <c r="F464" s="2">
        <v>957067</v>
      </c>
    </row>
    <row r="465" spans="1:6" x14ac:dyDescent="0.2">
      <c r="A465" s="2">
        <v>440</v>
      </c>
      <c r="B465" s="2">
        <v>-42966.062031801004</v>
      </c>
      <c r="C465" s="2">
        <v>43213.062031801004</v>
      </c>
      <c r="E465" s="2">
        <v>78.482142857142847</v>
      </c>
      <c r="F465" s="2">
        <v>959695</v>
      </c>
    </row>
    <row r="466" spans="1:6" x14ac:dyDescent="0.2">
      <c r="A466" s="2">
        <v>441</v>
      </c>
      <c r="B466" s="2">
        <v>89375.078296630731</v>
      </c>
      <c r="C466" s="2">
        <v>54689.921703369269</v>
      </c>
      <c r="E466" s="2">
        <v>78.660714285714278</v>
      </c>
      <c r="F466" s="2">
        <v>990344</v>
      </c>
    </row>
    <row r="467" spans="1:6" x14ac:dyDescent="0.2">
      <c r="A467" s="2">
        <v>442</v>
      </c>
      <c r="B467" s="2">
        <v>64852.804639653288</v>
      </c>
      <c r="C467" s="2">
        <v>21422.195360346712</v>
      </c>
      <c r="E467" s="2">
        <v>78.839285714285708</v>
      </c>
      <c r="F467" s="2">
        <v>1018289</v>
      </c>
    </row>
    <row r="468" spans="1:6" x14ac:dyDescent="0.2">
      <c r="A468" s="2">
        <v>443</v>
      </c>
      <c r="B468" s="2">
        <v>302338.59737495426</v>
      </c>
      <c r="C468" s="2">
        <v>-204814.59737495426</v>
      </c>
      <c r="E468" s="2">
        <v>79.017857142857139</v>
      </c>
      <c r="F468" s="2">
        <v>1025324</v>
      </c>
    </row>
    <row r="469" spans="1:6" x14ac:dyDescent="0.2">
      <c r="A469" s="2">
        <v>444</v>
      </c>
      <c r="B469" s="2">
        <v>5901.7844021934216</v>
      </c>
      <c r="C469" s="2">
        <v>58923.215597806578</v>
      </c>
      <c r="E469" s="2">
        <v>79.196428571428569</v>
      </c>
      <c r="F469" s="2">
        <v>1025953</v>
      </c>
    </row>
    <row r="470" spans="1:6" x14ac:dyDescent="0.2">
      <c r="A470" s="2">
        <v>445</v>
      </c>
      <c r="B470" s="2">
        <v>-20394.215591230597</v>
      </c>
      <c r="C470" s="2">
        <v>37807.215591230597</v>
      </c>
      <c r="E470" s="2">
        <v>79.375</v>
      </c>
      <c r="F470" s="2">
        <v>1029122</v>
      </c>
    </row>
    <row r="471" spans="1:6" x14ac:dyDescent="0.2">
      <c r="A471" s="2">
        <v>446</v>
      </c>
      <c r="B471" s="2">
        <v>-40762.070857282335</v>
      </c>
      <c r="C471" s="2">
        <v>42359.070857282335</v>
      </c>
      <c r="E471" s="2">
        <v>79.553571428571431</v>
      </c>
      <c r="F471" s="2">
        <v>1031791</v>
      </c>
    </row>
    <row r="472" spans="1:6" x14ac:dyDescent="0.2">
      <c r="A472" s="2">
        <v>447</v>
      </c>
      <c r="B472" s="2">
        <v>329343.84362888994</v>
      </c>
      <c r="C472" s="2">
        <v>-46348.843628889939</v>
      </c>
      <c r="E472" s="2">
        <v>79.732142857142847</v>
      </c>
      <c r="F472" s="2">
        <v>1043530</v>
      </c>
    </row>
    <row r="473" spans="1:6" x14ac:dyDescent="0.2">
      <c r="A473" s="2">
        <v>448</v>
      </c>
      <c r="B473" s="2">
        <v>2154387.721498983</v>
      </c>
      <c r="C473" s="2">
        <v>3748398.278501017</v>
      </c>
      <c r="E473" s="2">
        <v>79.910714285714278</v>
      </c>
      <c r="F473" s="2">
        <v>1064823</v>
      </c>
    </row>
    <row r="474" spans="1:6" x14ac:dyDescent="0.2">
      <c r="A474" s="2">
        <v>449</v>
      </c>
      <c r="B474" s="2">
        <v>591897.77481905103</v>
      </c>
      <c r="C474" s="2">
        <v>16582.225180948968</v>
      </c>
      <c r="E474" s="2">
        <v>80.089285714285708</v>
      </c>
      <c r="F474" s="2">
        <v>1065452</v>
      </c>
    </row>
    <row r="475" spans="1:6" x14ac:dyDescent="0.2">
      <c r="A475" s="2">
        <v>450</v>
      </c>
      <c r="B475" s="2">
        <v>-22978.247360332993</v>
      </c>
      <c r="C475" s="2">
        <v>41095.247360332993</v>
      </c>
      <c r="E475" s="2">
        <v>80.267857142857139</v>
      </c>
      <c r="F475" s="2">
        <v>1089827</v>
      </c>
    </row>
    <row r="476" spans="1:6" x14ac:dyDescent="0.2">
      <c r="A476" s="2">
        <v>451</v>
      </c>
      <c r="B476" s="2">
        <v>121903.01121902702</v>
      </c>
      <c r="C476" s="2">
        <v>27463.988780972984</v>
      </c>
      <c r="E476" s="2">
        <v>80.446428571428569</v>
      </c>
      <c r="F476" s="2">
        <v>1101225</v>
      </c>
    </row>
    <row r="477" spans="1:6" x14ac:dyDescent="0.2">
      <c r="A477" s="2">
        <v>452</v>
      </c>
      <c r="B477" s="2">
        <v>11690.133075762184</v>
      </c>
      <c r="C477" s="2">
        <v>135226.86692423781</v>
      </c>
      <c r="E477" s="2">
        <v>80.625</v>
      </c>
      <c r="F477" s="2">
        <v>1102311</v>
      </c>
    </row>
    <row r="478" spans="1:6" x14ac:dyDescent="0.2">
      <c r="A478" s="2">
        <v>453</v>
      </c>
      <c r="B478" s="2">
        <v>93985.789675123873</v>
      </c>
      <c r="C478" s="2">
        <v>111078.21032487613</v>
      </c>
      <c r="E478" s="2">
        <v>80.803571428571431</v>
      </c>
      <c r="F478" s="2">
        <v>1121298</v>
      </c>
    </row>
    <row r="479" spans="1:6" x14ac:dyDescent="0.2">
      <c r="A479" s="2">
        <v>454</v>
      </c>
      <c r="B479" s="2">
        <v>-52770.254412826878</v>
      </c>
      <c r="C479" s="2">
        <v>58863.254412826878</v>
      </c>
      <c r="E479" s="2">
        <v>80.982142857142847</v>
      </c>
      <c r="F479" s="2">
        <v>1154903</v>
      </c>
    </row>
    <row r="480" spans="1:6" x14ac:dyDescent="0.2">
      <c r="A480" s="2">
        <v>455</v>
      </c>
      <c r="B480" s="2">
        <v>111630.42780343718</v>
      </c>
      <c r="C480" s="2">
        <v>79716.572196562818</v>
      </c>
      <c r="E480" s="2">
        <v>81.160714285714278</v>
      </c>
      <c r="F480" s="2">
        <v>1174983</v>
      </c>
    </row>
    <row r="481" spans="1:6" x14ac:dyDescent="0.2">
      <c r="A481" s="2">
        <v>456</v>
      </c>
      <c r="B481" s="2">
        <v>164868.13038997707</v>
      </c>
      <c r="C481" s="2">
        <v>-106353.13038997707</v>
      </c>
      <c r="E481" s="2">
        <v>81.339285714285708</v>
      </c>
      <c r="F481" s="2">
        <v>1175396</v>
      </c>
    </row>
    <row r="482" spans="1:6" x14ac:dyDescent="0.2">
      <c r="A482" s="2">
        <v>457</v>
      </c>
      <c r="B482" s="2">
        <v>3878035.9072942212</v>
      </c>
      <c r="C482" s="2">
        <v>1988349.0927057788</v>
      </c>
      <c r="E482" s="2">
        <v>81.517857142857139</v>
      </c>
      <c r="F482" s="2">
        <v>1185651</v>
      </c>
    </row>
    <row r="483" spans="1:6" x14ac:dyDescent="0.2">
      <c r="A483" s="2">
        <v>458</v>
      </c>
      <c r="B483" s="2">
        <v>178307.51519870886</v>
      </c>
      <c r="C483" s="2">
        <v>101949.48480129114</v>
      </c>
      <c r="E483" s="2">
        <v>81.696428571428569</v>
      </c>
      <c r="F483" s="2">
        <v>1190775</v>
      </c>
    </row>
    <row r="484" spans="1:6" x14ac:dyDescent="0.2">
      <c r="A484" s="2">
        <v>459</v>
      </c>
      <c r="B484" s="2">
        <v>3082813.8707692251</v>
      </c>
      <c r="C484" s="2">
        <v>2249020.1292307749</v>
      </c>
      <c r="E484" s="2">
        <v>81.875</v>
      </c>
      <c r="F484" s="2">
        <v>1194439</v>
      </c>
    </row>
    <row r="485" spans="1:6" x14ac:dyDescent="0.2">
      <c r="A485" s="2">
        <v>460</v>
      </c>
      <c r="B485" s="2">
        <v>44117.006826014294</v>
      </c>
      <c r="C485" s="2">
        <v>104057.99317398571</v>
      </c>
      <c r="E485" s="2">
        <v>82.053571428571431</v>
      </c>
      <c r="F485" s="2">
        <v>1195732</v>
      </c>
    </row>
    <row r="486" spans="1:6" x14ac:dyDescent="0.2">
      <c r="A486" s="2">
        <v>461</v>
      </c>
      <c r="B486" s="2">
        <v>880443.30711586867</v>
      </c>
      <c r="C486" s="2">
        <v>483324.69288413133</v>
      </c>
      <c r="E486" s="2">
        <v>82.232142857142847</v>
      </c>
      <c r="F486" s="2">
        <v>1209373</v>
      </c>
    </row>
    <row r="487" spans="1:6" x14ac:dyDescent="0.2">
      <c r="A487" s="2">
        <v>462</v>
      </c>
      <c r="B487" s="2">
        <v>-54581.496260597858</v>
      </c>
      <c r="C487" s="2">
        <v>54649.496260597858</v>
      </c>
      <c r="E487" s="2">
        <v>82.410714285714278</v>
      </c>
      <c r="F487" s="2">
        <v>1211779</v>
      </c>
    </row>
    <row r="488" spans="1:6" x14ac:dyDescent="0.2">
      <c r="A488" s="2">
        <v>463</v>
      </c>
      <c r="B488" s="2">
        <v>1004767.3008170525</v>
      </c>
      <c r="C488" s="2">
        <v>85059.699182947516</v>
      </c>
      <c r="E488" s="2">
        <v>82.589285714285708</v>
      </c>
      <c r="F488" s="2">
        <v>1296931</v>
      </c>
    </row>
    <row r="489" spans="1:6" x14ac:dyDescent="0.2">
      <c r="A489" s="2">
        <v>464</v>
      </c>
      <c r="B489" s="2">
        <v>577597.24964900757</v>
      </c>
      <c r="C489" s="2">
        <v>199122.75035099243</v>
      </c>
      <c r="E489" s="2">
        <v>82.767857142857139</v>
      </c>
      <c r="F489" s="2">
        <v>1363768</v>
      </c>
    </row>
    <row r="490" spans="1:6" x14ac:dyDescent="0.2">
      <c r="A490" s="2">
        <v>465</v>
      </c>
      <c r="B490" s="2">
        <v>2331987.5439831987</v>
      </c>
      <c r="C490" s="2">
        <v>-1679309.5439831987</v>
      </c>
      <c r="E490" s="2">
        <v>82.946428571428569</v>
      </c>
      <c r="F490" s="2">
        <v>1414417</v>
      </c>
    </row>
    <row r="491" spans="1:6" x14ac:dyDescent="0.2">
      <c r="A491" s="2">
        <v>466</v>
      </c>
      <c r="B491" s="2">
        <v>38873.301579993225</v>
      </c>
      <c r="C491" s="2">
        <v>-23105.301579993225</v>
      </c>
      <c r="E491" s="2">
        <v>83.125</v>
      </c>
      <c r="F491" s="2">
        <v>1423438</v>
      </c>
    </row>
    <row r="492" spans="1:6" x14ac:dyDescent="0.2">
      <c r="A492" s="2">
        <v>467</v>
      </c>
      <c r="B492" s="2">
        <v>649923.50034921197</v>
      </c>
      <c r="C492" s="2">
        <v>773514.49965078803</v>
      </c>
      <c r="E492" s="2">
        <v>83.303571428571431</v>
      </c>
      <c r="F492" s="2">
        <v>1423472</v>
      </c>
    </row>
    <row r="493" spans="1:6" x14ac:dyDescent="0.2">
      <c r="A493" s="2">
        <v>468</v>
      </c>
      <c r="B493" s="2">
        <v>-42231.398306961448</v>
      </c>
      <c r="C493" s="2">
        <v>42876.398306961448</v>
      </c>
      <c r="E493" s="2">
        <v>83.482142857142847</v>
      </c>
      <c r="F493" s="2">
        <v>1438134</v>
      </c>
    </row>
    <row r="494" spans="1:6" x14ac:dyDescent="0.2">
      <c r="A494" s="2">
        <v>469</v>
      </c>
      <c r="B494" s="2">
        <v>1171065.7432655653</v>
      </c>
      <c r="C494" s="2">
        <v>452306.25673443475</v>
      </c>
      <c r="E494" s="2">
        <v>83.660714285714278</v>
      </c>
      <c r="F494" s="2">
        <v>1442405</v>
      </c>
    </row>
    <row r="495" spans="1:6" x14ac:dyDescent="0.2">
      <c r="A495" s="2">
        <v>470</v>
      </c>
      <c r="B495" s="2">
        <v>-51452.821063947762</v>
      </c>
      <c r="C495" s="2">
        <v>51897.821063947762</v>
      </c>
      <c r="E495" s="2">
        <v>83.839285714285708</v>
      </c>
      <c r="F495" s="2">
        <v>1447769</v>
      </c>
    </row>
    <row r="496" spans="1:6" x14ac:dyDescent="0.2">
      <c r="A496" s="2">
        <v>471</v>
      </c>
      <c r="B496" s="2">
        <v>35199.372270627973</v>
      </c>
      <c r="C496" s="2">
        <v>152608.62772937203</v>
      </c>
      <c r="E496" s="2">
        <v>84.017857142857139</v>
      </c>
      <c r="F496" s="2">
        <v>1478306</v>
      </c>
    </row>
    <row r="497" spans="1:6" x14ac:dyDescent="0.2">
      <c r="A497" s="2">
        <v>472</v>
      </c>
      <c r="B497" s="2">
        <v>602943.14815597225</v>
      </c>
      <c r="C497" s="2">
        <v>168701.85184402775</v>
      </c>
      <c r="E497" s="2">
        <v>84.196428571428569</v>
      </c>
      <c r="F497" s="2">
        <v>1531835</v>
      </c>
    </row>
    <row r="498" spans="1:6" x14ac:dyDescent="0.2">
      <c r="A498" s="2">
        <v>473</v>
      </c>
      <c r="B498" s="2">
        <v>17845146.757695265</v>
      </c>
      <c r="C498" s="2">
        <v>23652847.242304735</v>
      </c>
      <c r="E498" s="2">
        <v>84.375</v>
      </c>
      <c r="F498" s="2">
        <v>1577071</v>
      </c>
    </row>
    <row r="499" spans="1:6" x14ac:dyDescent="0.2">
      <c r="A499" s="2">
        <v>474</v>
      </c>
      <c r="B499" s="2">
        <v>18936.321837181036</v>
      </c>
      <c r="C499" s="2">
        <v>-3408.3218371810362</v>
      </c>
      <c r="E499" s="2">
        <v>84.553571428571431</v>
      </c>
      <c r="F499" s="2">
        <v>1609764</v>
      </c>
    </row>
    <row r="500" spans="1:6" x14ac:dyDescent="0.2">
      <c r="A500" s="2">
        <v>475</v>
      </c>
      <c r="B500" s="2">
        <v>23622.674923490456</v>
      </c>
      <c r="C500" s="2">
        <v>31083.325076509544</v>
      </c>
      <c r="E500" s="2">
        <v>84.732142857142847</v>
      </c>
      <c r="F500" s="2">
        <v>1617205</v>
      </c>
    </row>
    <row r="501" spans="1:6" x14ac:dyDescent="0.2">
      <c r="A501" s="2">
        <v>476</v>
      </c>
      <c r="B501" s="2">
        <v>171847.43577595288</v>
      </c>
      <c r="C501" s="2">
        <v>-110155.43577595288</v>
      </c>
      <c r="E501" s="2">
        <v>84.910714285714278</v>
      </c>
      <c r="F501" s="2">
        <v>1623372</v>
      </c>
    </row>
    <row r="502" spans="1:6" x14ac:dyDescent="0.2">
      <c r="A502" s="2">
        <v>477</v>
      </c>
      <c r="B502" s="2">
        <v>344472.26844509289</v>
      </c>
      <c r="C502" s="2">
        <v>-299938.26844509289</v>
      </c>
      <c r="E502" s="2">
        <v>85.089285714285708</v>
      </c>
      <c r="F502" s="2">
        <v>1645255</v>
      </c>
    </row>
    <row r="503" spans="1:6" x14ac:dyDescent="0.2">
      <c r="A503" s="2">
        <v>478</v>
      </c>
      <c r="B503" s="2">
        <v>-15618.901379773481</v>
      </c>
      <c r="C503" s="2">
        <v>70492.901379773481</v>
      </c>
      <c r="E503" s="2">
        <v>85.267857142857139</v>
      </c>
      <c r="F503" s="2">
        <v>1647552</v>
      </c>
    </row>
    <row r="504" spans="1:6" x14ac:dyDescent="0.2">
      <c r="A504" s="2">
        <v>479</v>
      </c>
      <c r="B504" s="2">
        <v>17855799.381705437</v>
      </c>
      <c r="C504" s="2">
        <v>1436754.6182945631</v>
      </c>
      <c r="E504" s="2">
        <v>85.446428571428569</v>
      </c>
      <c r="F504" s="2">
        <v>1649468</v>
      </c>
    </row>
    <row r="505" spans="1:6" x14ac:dyDescent="0.2">
      <c r="A505" s="2">
        <v>480</v>
      </c>
      <c r="B505" s="2">
        <v>4004321.8155736411</v>
      </c>
      <c r="C505" s="2">
        <v>-1913828.8155736411</v>
      </c>
      <c r="E505" s="2">
        <v>85.625</v>
      </c>
      <c r="F505" s="2">
        <v>1661369</v>
      </c>
    </row>
    <row r="506" spans="1:6" x14ac:dyDescent="0.2">
      <c r="A506" s="2">
        <v>481</v>
      </c>
      <c r="B506" s="2">
        <v>-42434.127336417274</v>
      </c>
      <c r="C506" s="2">
        <v>58955.127336417274</v>
      </c>
      <c r="E506" s="2">
        <v>85.803571428571431</v>
      </c>
      <c r="F506" s="2">
        <v>1681141</v>
      </c>
    </row>
    <row r="507" spans="1:6" x14ac:dyDescent="0.2">
      <c r="A507" s="2">
        <v>482</v>
      </c>
      <c r="B507" s="2">
        <v>44598.717277909673</v>
      </c>
      <c r="C507" s="2">
        <v>18739.282722090327</v>
      </c>
      <c r="E507" s="2">
        <v>85.982142857142847</v>
      </c>
      <c r="F507" s="2">
        <v>1687301</v>
      </c>
    </row>
    <row r="508" spans="1:6" x14ac:dyDescent="0.2">
      <c r="A508" s="2">
        <v>483</v>
      </c>
      <c r="B508" s="2">
        <v>-42598.730169381226</v>
      </c>
      <c r="C508" s="2">
        <v>42882.730169381226</v>
      </c>
      <c r="E508" s="2">
        <v>86.160714285714278</v>
      </c>
      <c r="F508" s="2">
        <v>1712451</v>
      </c>
    </row>
    <row r="509" spans="1:6" x14ac:dyDescent="0.2">
      <c r="A509" s="2">
        <v>484</v>
      </c>
      <c r="B509" s="2">
        <v>50906.291914698209</v>
      </c>
      <c r="C509" s="2">
        <v>17113.708085301791</v>
      </c>
      <c r="E509" s="2">
        <v>86.339285714285708</v>
      </c>
      <c r="F509" s="2">
        <v>1734889</v>
      </c>
    </row>
    <row r="510" spans="1:6" x14ac:dyDescent="0.2">
      <c r="A510" s="2">
        <v>485</v>
      </c>
      <c r="B510" s="2">
        <v>212266.64937429241</v>
      </c>
      <c r="C510" s="2">
        <v>110162.35062570759</v>
      </c>
      <c r="E510" s="2">
        <v>86.517857142857139</v>
      </c>
      <c r="F510" s="2">
        <v>1795623</v>
      </c>
    </row>
    <row r="511" spans="1:6" x14ac:dyDescent="0.2">
      <c r="A511" s="2">
        <v>486</v>
      </c>
      <c r="B511" s="2">
        <v>163374.60684630502</v>
      </c>
      <c r="C511" s="2">
        <v>-56379.606846305018</v>
      </c>
      <c r="E511" s="2">
        <v>86.696428571428569</v>
      </c>
      <c r="F511" s="2">
        <v>1811479</v>
      </c>
    </row>
    <row r="512" spans="1:6" x14ac:dyDescent="0.2">
      <c r="A512" s="2">
        <v>487</v>
      </c>
      <c r="B512" s="2">
        <v>8932407.9556008913</v>
      </c>
      <c r="C512" s="2">
        <v>-6433144.9556008913</v>
      </c>
      <c r="E512" s="2">
        <v>86.875</v>
      </c>
      <c r="F512" s="2">
        <v>1828172</v>
      </c>
    </row>
    <row r="513" spans="1:6" x14ac:dyDescent="0.2">
      <c r="A513" s="2">
        <v>488</v>
      </c>
      <c r="B513" s="2">
        <v>-17455.560691872372</v>
      </c>
      <c r="C513" s="2">
        <v>68920.560691872379</v>
      </c>
      <c r="E513" s="2">
        <v>87.053571428571431</v>
      </c>
      <c r="F513" s="2">
        <v>1867713</v>
      </c>
    </row>
    <row r="514" spans="1:6" x14ac:dyDescent="0.2">
      <c r="A514" s="2">
        <v>489</v>
      </c>
      <c r="B514" s="2">
        <v>15254088.248673126</v>
      </c>
      <c r="C514" s="2">
        <v>1486763.7513268739</v>
      </c>
      <c r="E514" s="2">
        <v>87.232142857142847</v>
      </c>
      <c r="F514" s="2">
        <v>1976054</v>
      </c>
    </row>
    <row r="515" spans="1:6" x14ac:dyDescent="0.2">
      <c r="A515" s="2">
        <v>490</v>
      </c>
      <c r="B515" s="2">
        <v>3547805.7843491756</v>
      </c>
      <c r="C515" s="2">
        <v>-2557461.7843491756</v>
      </c>
      <c r="E515" s="2">
        <v>87.410714285714278</v>
      </c>
      <c r="F515" s="2">
        <v>2027986</v>
      </c>
    </row>
    <row r="516" spans="1:6" x14ac:dyDescent="0.2">
      <c r="A516" s="2">
        <v>491</v>
      </c>
      <c r="B516" s="2">
        <v>191582.2971744767</v>
      </c>
      <c r="C516" s="2">
        <v>-20998.297174476698</v>
      </c>
      <c r="E516" s="2">
        <v>87.589285714285708</v>
      </c>
      <c r="F516" s="2">
        <v>2067537</v>
      </c>
    </row>
    <row r="517" spans="1:6" x14ac:dyDescent="0.2">
      <c r="A517" s="2">
        <v>492</v>
      </c>
      <c r="B517" s="2">
        <v>183500.99620124159</v>
      </c>
      <c r="C517" s="2">
        <v>17.003798758407356</v>
      </c>
      <c r="E517" s="2">
        <v>87.767857142857139</v>
      </c>
      <c r="F517" s="2">
        <v>2088155</v>
      </c>
    </row>
    <row r="518" spans="1:6" x14ac:dyDescent="0.2">
      <c r="A518" s="2">
        <v>493</v>
      </c>
      <c r="B518" s="2">
        <v>177256.35454010536</v>
      </c>
      <c r="C518" s="2">
        <v>17730.645459894644</v>
      </c>
      <c r="E518" s="2">
        <v>87.946428571428569</v>
      </c>
      <c r="F518" s="2">
        <v>2090493</v>
      </c>
    </row>
    <row r="519" spans="1:6" x14ac:dyDescent="0.2">
      <c r="A519" s="2">
        <v>494</v>
      </c>
      <c r="B519" s="2">
        <v>1780786.4106389086</v>
      </c>
      <c r="C519" s="2">
        <v>-171022.41063890862</v>
      </c>
      <c r="E519" s="2">
        <v>88.125</v>
      </c>
      <c r="F519" s="2">
        <v>2096106</v>
      </c>
    </row>
    <row r="520" spans="1:6" x14ac:dyDescent="0.2">
      <c r="A520" s="2">
        <v>495</v>
      </c>
      <c r="B520" s="2">
        <v>3467599.1296496894</v>
      </c>
      <c r="C520" s="2">
        <v>-547079.12964968942</v>
      </c>
      <c r="E520" s="2">
        <v>88.303571428571431</v>
      </c>
      <c r="F520" s="2">
        <v>2175718</v>
      </c>
    </row>
    <row r="521" spans="1:6" x14ac:dyDescent="0.2">
      <c r="A521" s="2">
        <v>496</v>
      </c>
      <c r="B521" s="2">
        <v>1405209.2550980989</v>
      </c>
      <c r="C521" s="2">
        <v>1845202.7449019011</v>
      </c>
      <c r="E521" s="2">
        <v>88.482142857142847</v>
      </c>
      <c r="F521" s="2">
        <v>2228902</v>
      </c>
    </row>
    <row r="522" spans="1:6" x14ac:dyDescent="0.2">
      <c r="A522" s="2">
        <v>497</v>
      </c>
      <c r="B522" s="2">
        <v>2709972.0304131503</v>
      </c>
      <c r="C522" s="2">
        <v>3372856.9695868497</v>
      </c>
      <c r="E522" s="2">
        <v>88.660714285714278</v>
      </c>
      <c r="F522" s="2">
        <v>2276323</v>
      </c>
    </row>
    <row r="523" spans="1:6" x14ac:dyDescent="0.2">
      <c r="A523" s="2">
        <v>498</v>
      </c>
      <c r="B523" s="2">
        <v>25180.963498317265</v>
      </c>
      <c r="C523" s="2">
        <v>4704.0365016827345</v>
      </c>
      <c r="E523" s="2">
        <v>88.839285714285708</v>
      </c>
      <c r="F523" s="2">
        <v>2308621</v>
      </c>
    </row>
    <row r="524" spans="1:6" x14ac:dyDescent="0.2">
      <c r="A524" s="2">
        <v>499</v>
      </c>
      <c r="B524" s="2">
        <v>198295.32987017691</v>
      </c>
      <c r="C524" s="2">
        <v>-127708.32987017691</v>
      </c>
      <c r="E524" s="2">
        <v>89.017857142857139</v>
      </c>
      <c r="F524" s="2">
        <v>2312929</v>
      </c>
    </row>
    <row r="525" spans="1:6" x14ac:dyDescent="0.2">
      <c r="A525" s="2">
        <v>500</v>
      </c>
      <c r="B525" s="2">
        <v>298843.20100105187</v>
      </c>
      <c r="C525" s="2">
        <v>125832.79899894813</v>
      </c>
      <c r="E525" s="2">
        <v>89.196428571428569</v>
      </c>
      <c r="F525" s="2">
        <v>2351742</v>
      </c>
    </row>
    <row r="526" spans="1:6" x14ac:dyDescent="0.2">
      <c r="A526" s="2">
        <v>501</v>
      </c>
      <c r="B526" s="2">
        <v>78633.493161309467</v>
      </c>
      <c r="C526" s="2">
        <v>68780.506838690533</v>
      </c>
      <c r="E526" s="2">
        <v>89.375</v>
      </c>
      <c r="F526" s="2">
        <v>2394557</v>
      </c>
    </row>
    <row r="527" spans="1:6" x14ac:dyDescent="0.2">
      <c r="A527" s="2">
        <v>502</v>
      </c>
      <c r="B527" s="2">
        <v>11044.430476070316</v>
      </c>
      <c r="C527" s="2">
        <v>70630.569523929677</v>
      </c>
      <c r="E527" s="2">
        <v>89.553571428571431</v>
      </c>
      <c r="F527" s="2">
        <v>2419734</v>
      </c>
    </row>
    <row r="528" spans="1:6" x14ac:dyDescent="0.2">
      <c r="A528" s="2">
        <v>503</v>
      </c>
      <c r="B528" s="2">
        <v>1405.4516131758646</v>
      </c>
      <c r="C528" s="2">
        <v>3343.5483868241354</v>
      </c>
      <c r="E528" s="2">
        <v>89.732142857142847</v>
      </c>
      <c r="F528" s="2">
        <v>2439394</v>
      </c>
    </row>
    <row r="529" spans="1:6" x14ac:dyDescent="0.2">
      <c r="A529" s="2">
        <v>504</v>
      </c>
      <c r="B529" s="2">
        <v>4280.5628517143159</v>
      </c>
      <c r="C529" s="2">
        <v>39270.43714828568</v>
      </c>
      <c r="E529" s="2">
        <v>89.910714285714278</v>
      </c>
      <c r="F529" s="2">
        <v>2499263</v>
      </c>
    </row>
    <row r="530" spans="1:6" x14ac:dyDescent="0.2">
      <c r="A530" s="2">
        <v>505</v>
      </c>
      <c r="B530" s="2">
        <v>1648229.832548857</v>
      </c>
      <c r="C530" s="2">
        <v>-1167847.832548857</v>
      </c>
      <c r="E530" s="2">
        <v>90.089285714285708</v>
      </c>
      <c r="F530" s="2">
        <v>2505812</v>
      </c>
    </row>
    <row r="531" spans="1:6" x14ac:dyDescent="0.2">
      <c r="A531" s="2">
        <v>506</v>
      </c>
      <c r="B531" s="2">
        <v>4257375.3425843762</v>
      </c>
      <c r="C531" s="2">
        <v>-3048002.3425843762</v>
      </c>
      <c r="E531" s="2">
        <v>90.267857142857139</v>
      </c>
      <c r="F531" s="2">
        <v>2525589</v>
      </c>
    </row>
    <row r="532" spans="1:6" x14ac:dyDescent="0.2">
      <c r="A532" s="2">
        <v>507</v>
      </c>
      <c r="B532" s="2">
        <v>-50718.157339108206</v>
      </c>
      <c r="C532" s="2">
        <v>51361.157339108206</v>
      </c>
      <c r="E532" s="2">
        <v>90.446428571428569</v>
      </c>
      <c r="F532" s="2">
        <v>2600565</v>
      </c>
    </row>
    <row r="533" spans="1:6" x14ac:dyDescent="0.2">
      <c r="A533" s="2">
        <v>508</v>
      </c>
      <c r="B533" s="2">
        <v>370185.49881447735</v>
      </c>
      <c r="C533" s="2">
        <v>-296864.49881447735</v>
      </c>
      <c r="E533" s="2">
        <v>90.625</v>
      </c>
      <c r="F533" s="2">
        <v>2920520</v>
      </c>
    </row>
    <row r="534" spans="1:6" x14ac:dyDescent="0.2">
      <c r="A534" s="2">
        <v>509</v>
      </c>
      <c r="B534" s="2">
        <v>132580.44200836105</v>
      </c>
      <c r="C534" s="2">
        <v>-83645.442008361046</v>
      </c>
      <c r="E534" s="2">
        <v>90.803571428571431</v>
      </c>
      <c r="F534" s="2">
        <v>2967735</v>
      </c>
    </row>
    <row r="535" spans="1:6" x14ac:dyDescent="0.2">
      <c r="A535" s="2">
        <v>510</v>
      </c>
      <c r="B535" s="2">
        <v>1849895.0250173151</v>
      </c>
      <c r="C535" s="2">
        <v>-1311065.0250173151</v>
      </c>
      <c r="E535" s="2">
        <v>90.982142857142847</v>
      </c>
      <c r="F535" s="2">
        <v>3250412</v>
      </c>
    </row>
    <row r="536" spans="1:6" x14ac:dyDescent="0.2">
      <c r="A536" s="2">
        <v>511</v>
      </c>
      <c r="B536" s="2">
        <v>65182.620990748663</v>
      </c>
      <c r="C536" s="2">
        <v>-34996.620990748663</v>
      </c>
      <c r="E536" s="2">
        <v>91.160714285714278</v>
      </c>
      <c r="F536" s="2">
        <v>3264610</v>
      </c>
    </row>
    <row r="537" spans="1:6" x14ac:dyDescent="0.2">
      <c r="A537" s="2">
        <v>512</v>
      </c>
      <c r="B537" s="2">
        <v>8752.0888615714248</v>
      </c>
      <c r="C537" s="2">
        <v>-569.08886157142479</v>
      </c>
      <c r="E537" s="2">
        <v>91.339285714285708</v>
      </c>
      <c r="F537" s="2">
        <v>3282275</v>
      </c>
    </row>
    <row r="538" spans="1:6" x14ac:dyDescent="0.2">
      <c r="A538" s="2">
        <v>513</v>
      </c>
      <c r="B538" s="2">
        <v>-37823.41595792411</v>
      </c>
      <c r="C538" s="2">
        <v>41631.41595792411</v>
      </c>
      <c r="E538" s="2">
        <v>91.517857142857139</v>
      </c>
      <c r="F538" s="2">
        <v>3366238</v>
      </c>
    </row>
    <row r="539" spans="1:6" x14ac:dyDescent="0.2">
      <c r="A539" s="2">
        <v>514</v>
      </c>
      <c r="B539" s="2">
        <v>802964.14435029321</v>
      </c>
      <c r="C539" s="2">
        <v>-700332.14435029321</v>
      </c>
      <c r="E539" s="2">
        <v>91.696428571428569</v>
      </c>
      <c r="F539" s="2">
        <v>3394400</v>
      </c>
    </row>
    <row r="540" spans="1:6" x14ac:dyDescent="0.2">
      <c r="A540" s="2">
        <v>515</v>
      </c>
      <c r="B540" s="2">
        <v>99141.144481164738</v>
      </c>
      <c r="C540" s="2">
        <v>113707.85551883526</v>
      </c>
      <c r="E540" s="2">
        <v>91.875</v>
      </c>
      <c r="F540" s="2">
        <v>3531568</v>
      </c>
    </row>
    <row r="541" spans="1:6" x14ac:dyDescent="0.2">
      <c r="A541" s="2">
        <v>516</v>
      </c>
      <c r="B541" s="2">
        <v>40925.398653711891</v>
      </c>
      <c r="C541" s="2">
        <v>9901.6013462881092</v>
      </c>
      <c r="E541" s="2">
        <v>92.053571428571431</v>
      </c>
      <c r="F541" s="2">
        <v>3610747</v>
      </c>
    </row>
    <row r="542" spans="1:6" x14ac:dyDescent="0.2">
      <c r="A542" s="2">
        <v>517</v>
      </c>
      <c r="B542" s="2">
        <v>-988.55985863466776</v>
      </c>
      <c r="C542" s="2">
        <v>37430.559858634668</v>
      </c>
      <c r="E542" s="2">
        <v>92.232142857142847</v>
      </c>
      <c r="F542" s="2">
        <v>4081449</v>
      </c>
    </row>
    <row r="543" spans="1:6" x14ac:dyDescent="0.2">
      <c r="A543" s="2">
        <v>518</v>
      </c>
      <c r="B543" s="2">
        <v>-16188.96227164907</v>
      </c>
      <c r="C543" s="2">
        <v>57739.96227164907</v>
      </c>
      <c r="E543" s="2">
        <v>92.410714285714278</v>
      </c>
      <c r="F543" s="2">
        <v>4161586</v>
      </c>
    </row>
    <row r="544" spans="1:6" x14ac:dyDescent="0.2">
      <c r="A544" s="2">
        <v>519</v>
      </c>
      <c r="B544" s="2">
        <v>66448.608725804486</v>
      </c>
      <c r="C544" s="2">
        <v>81749.391274195514</v>
      </c>
      <c r="E544" s="2">
        <v>92.589285714285708</v>
      </c>
      <c r="F544" s="2">
        <v>4253082</v>
      </c>
    </row>
    <row r="545" spans="1:6" x14ac:dyDescent="0.2">
      <c r="A545" s="2">
        <v>520</v>
      </c>
      <c r="B545" s="2">
        <v>33932.773850404687</v>
      </c>
      <c r="C545" s="2">
        <v>604.22614959531347</v>
      </c>
      <c r="E545" s="2">
        <v>92.767857142857139</v>
      </c>
      <c r="F545" s="2">
        <v>4342495</v>
      </c>
    </row>
    <row r="546" spans="1:6" x14ac:dyDescent="0.2">
      <c r="A546" s="2">
        <v>521</v>
      </c>
      <c r="B546" s="2">
        <v>327207.67091136333</v>
      </c>
      <c r="C546" s="2">
        <v>-309103.67091136333</v>
      </c>
      <c r="E546" s="2">
        <v>92.946428571428569</v>
      </c>
      <c r="F546" s="2">
        <v>4356040</v>
      </c>
    </row>
    <row r="547" spans="1:6" x14ac:dyDescent="0.2">
      <c r="A547" s="2">
        <v>522</v>
      </c>
      <c r="B547" s="2">
        <v>-51085.489201527984</v>
      </c>
      <c r="C547" s="2">
        <v>51604.489201527984</v>
      </c>
      <c r="E547" s="2">
        <v>93.125</v>
      </c>
      <c r="F547" s="2">
        <v>4358396</v>
      </c>
    </row>
    <row r="548" spans="1:6" x14ac:dyDescent="0.2">
      <c r="A548" s="2">
        <v>523</v>
      </c>
      <c r="B548" s="2">
        <v>2336395.5263322359</v>
      </c>
      <c r="C548" s="2">
        <v>-1682901.5263322359</v>
      </c>
      <c r="E548" s="2">
        <v>93.303571428571431</v>
      </c>
      <c r="F548" s="2">
        <v>4414401</v>
      </c>
    </row>
    <row r="549" spans="1:6" x14ac:dyDescent="0.2">
      <c r="A549" s="2">
        <v>524</v>
      </c>
      <c r="B549" s="2">
        <v>521205.45440148964</v>
      </c>
      <c r="C549" s="2">
        <v>85255.545598510362</v>
      </c>
      <c r="E549" s="2">
        <v>93.482142857142847</v>
      </c>
      <c r="F549" s="2">
        <v>4532245</v>
      </c>
    </row>
    <row r="550" spans="1:6" x14ac:dyDescent="0.2">
      <c r="A550" s="2">
        <v>525</v>
      </c>
      <c r="B550" s="2">
        <v>1785549.0161182017</v>
      </c>
      <c r="C550" s="2">
        <v>242436.98388179834</v>
      </c>
      <c r="E550" s="2">
        <v>93.660714285714278</v>
      </c>
      <c r="F550" s="2">
        <v>4540561</v>
      </c>
    </row>
    <row r="551" spans="1:6" x14ac:dyDescent="0.2">
      <c r="A551" s="2">
        <v>526</v>
      </c>
      <c r="B551" s="2">
        <v>161410.24952739908</v>
      </c>
      <c r="C551" s="2">
        <v>19831.750472600921</v>
      </c>
      <c r="E551" s="2">
        <v>93.839285714285708</v>
      </c>
      <c r="F551" s="2">
        <v>4688603</v>
      </c>
    </row>
    <row r="552" spans="1:6" x14ac:dyDescent="0.2">
      <c r="A552" s="2">
        <v>527</v>
      </c>
      <c r="B552" s="2">
        <v>50894.193867701724</v>
      </c>
      <c r="C552" s="2">
        <v>16747.806132298276</v>
      </c>
      <c r="E552" s="2">
        <v>94.017857142857139</v>
      </c>
      <c r="F552" s="2">
        <v>4880359</v>
      </c>
    </row>
    <row r="553" spans="1:6" x14ac:dyDescent="0.2">
      <c r="A553" s="2">
        <v>528</v>
      </c>
      <c r="B553" s="2">
        <v>1788715.206826176</v>
      </c>
      <c r="C553" s="2">
        <v>6005009.7931738235</v>
      </c>
      <c r="E553" s="2">
        <v>94.196428571428569</v>
      </c>
      <c r="F553" s="2">
        <v>5063771</v>
      </c>
    </row>
    <row r="554" spans="1:6" x14ac:dyDescent="0.2">
      <c r="A554" s="2">
        <v>529</v>
      </c>
      <c r="B554" s="2">
        <v>367079.18765631784</v>
      </c>
      <c r="C554" s="2">
        <v>277662.81234368216</v>
      </c>
      <c r="E554" s="2">
        <v>94.375</v>
      </c>
      <c r="F554" s="2">
        <v>5082340</v>
      </c>
    </row>
    <row r="555" spans="1:6" x14ac:dyDescent="0.2">
      <c r="A555" s="2">
        <v>530</v>
      </c>
      <c r="B555" s="2">
        <v>-11008.190001280316</v>
      </c>
      <c r="C555" s="2">
        <v>33694.190001280316</v>
      </c>
      <c r="E555" s="2">
        <v>94.553571428571431</v>
      </c>
      <c r="F555" s="2">
        <v>5097032</v>
      </c>
    </row>
    <row r="556" spans="1:6" x14ac:dyDescent="0.2">
      <c r="A556" s="2">
        <v>531</v>
      </c>
      <c r="B556" s="2">
        <v>574254.35806107265</v>
      </c>
      <c r="C556" s="2">
        <v>-50060.358061072649</v>
      </c>
      <c r="E556" s="2">
        <v>94.732142857142847</v>
      </c>
      <c r="F556" s="2">
        <v>5115931</v>
      </c>
    </row>
    <row r="557" spans="1:6" x14ac:dyDescent="0.2">
      <c r="A557" s="2">
        <v>532</v>
      </c>
      <c r="B557" s="2">
        <v>-51123.615398019858</v>
      </c>
      <c r="C557" s="2">
        <v>72900.615398019858</v>
      </c>
      <c r="E557" s="2">
        <v>94.910714285714278</v>
      </c>
      <c r="F557" s="2">
        <v>5175160</v>
      </c>
    </row>
    <row r="558" spans="1:6" x14ac:dyDescent="0.2">
      <c r="A558" s="2">
        <v>533</v>
      </c>
      <c r="B558" s="2">
        <v>135721.82593717508</v>
      </c>
      <c r="C558" s="2">
        <v>163939.17406282492</v>
      </c>
      <c r="E558" s="2">
        <v>95.089285714285708</v>
      </c>
      <c r="F558" s="2">
        <v>5286887</v>
      </c>
    </row>
    <row r="559" spans="1:6" x14ac:dyDescent="0.2">
      <c r="A559" s="2">
        <v>534</v>
      </c>
      <c r="B559" s="2">
        <v>211000.05095406913</v>
      </c>
      <c r="C559" s="2">
        <v>115246.94904593087</v>
      </c>
      <c r="E559" s="2">
        <v>95.267857142857139</v>
      </c>
      <c r="F559" s="2">
        <v>5329960</v>
      </c>
    </row>
    <row r="560" spans="1:6" x14ac:dyDescent="0.2">
      <c r="A560" s="2">
        <v>535</v>
      </c>
      <c r="B560" s="2">
        <v>724125.75792834209</v>
      </c>
      <c r="C560" s="2">
        <v>718279.24207165791</v>
      </c>
      <c r="E560" s="2">
        <v>95.446428571428569</v>
      </c>
      <c r="F560" s="2">
        <v>5331834</v>
      </c>
    </row>
    <row r="561" spans="1:6" x14ac:dyDescent="0.2">
      <c r="A561" s="2">
        <v>536</v>
      </c>
      <c r="B561" s="2">
        <v>79735.488748568809</v>
      </c>
      <c r="C561" s="2">
        <v>44086.511251431191</v>
      </c>
      <c r="E561" s="2">
        <v>95.625</v>
      </c>
      <c r="F561" s="2">
        <v>5434641</v>
      </c>
    </row>
    <row r="562" spans="1:6" x14ac:dyDescent="0.2">
      <c r="A562" s="2">
        <v>537</v>
      </c>
      <c r="B562" s="2">
        <v>7155.6740902527526</v>
      </c>
      <c r="C562" s="2">
        <v>52300.325909747247</v>
      </c>
      <c r="E562" s="2">
        <v>95.803571428571431</v>
      </c>
      <c r="F562" s="2">
        <v>5721506</v>
      </c>
    </row>
    <row r="563" spans="1:6" x14ac:dyDescent="0.2">
      <c r="A563" s="2">
        <v>538</v>
      </c>
      <c r="B563" s="2">
        <v>2281447.0303849019</v>
      </c>
      <c r="C563" s="2">
        <v>-193292.03038490191</v>
      </c>
      <c r="E563" s="2">
        <v>95.982142857142847</v>
      </c>
      <c r="F563" s="2">
        <v>5866385</v>
      </c>
    </row>
    <row r="564" spans="1:6" x14ac:dyDescent="0.2">
      <c r="A564" s="2">
        <v>539</v>
      </c>
      <c r="B564" s="2">
        <v>28220.677569819658</v>
      </c>
      <c r="C564" s="2">
        <v>-15314.677569819658</v>
      </c>
      <c r="E564" s="2">
        <v>96.160714285714278</v>
      </c>
      <c r="F564" s="2">
        <v>5901671</v>
      </c>
    </row>
    <row r="565" spans="1:6" x14ac:dyDescent="0.2">
      <c r="A565" s="2">
        <v>540</v>
      </c>
      <c r="B565" s="2">
        <v>-50553.554506144254</v>
      </c>
      <c r="C565" s="2">
        <v>70586.554506144254</v>
      </c>
      <c r="E565" s="2">
        <v>96.339285714285708</v>
      </c>
      <c r="F565" s="2">
        <v>5902786</v>
      </c>
    </row>
    <row r="566" spans="1:6" x14ac:dyDescent="0.2">
      <c r="A566" s="2">
        <v>541</v>
      </c>
      <c r="B566" s="2">
        <v>-3002.5307358614718</v>
      </c>
      <c r="C566" s="2">
        <v>6393.5307358614718</v>
      </c>
      <c r="E566" s="2">
        <v>96.517857142857139</v>
      </c>
      <c r="F566" s="2">
        <v>5956868</v>
      </c>
    </row>
    <row r="567" spans="1:6" x14ac:dyDescent="0.2">
      <c r="A567" s="2">
        <v>542</v>
      </c>
      <c r="B567" s="2">
        <v>6366962.2284611613</v>
      </c>
      <c r="C567" s="2">
        <v>-4555483.2284611613</v>
      </c>
      <c r="E567" s="2">
        <v>96.696428571428569</v>
      </c>
      <c r="F567" s="2">
        <v>6034926</v>
      </c>
    </row>
    <row r="568" spans="1:6" x14ac:dyDescent="0.2">
      <c r="A568" s="2">
        <v>543</v>
      </c>
      <c r="B568" s="2">
        <v>-42966.062031801004</v>
      </c>
      <c r="C568" s="2">
        <v>42970.062031801004</v>
      </c>
      <c r="E568" s="2">
        <v>96.875</v>
      </c>
      <c r="F568" s="2">
        <v>6082829</v>
      </c>
    </row>
    <row r="569" spans="1:6" x14ac:dyDescent="0.2">
      <c r="A569" s="2">
        <v>544</v>
      </c>
      <c r="B569" s="2">
        <v>249696.98382978537</v>
      </c>
      <c r="C569" s="2">
        <v>84323.016170214629</v>
      </c>
      <c r="E569" s="2">
        <v>97.053571428571431</v>
      </c>
      <c r="F569" s="2">
        <v>6087352</v>
      </c>
    </row>
    <row r="570" spans="1:6" x14ac:dyDescent="0.2">
      <c r="A570" s="2">
        <v>545</v>
      </c>
      <c r="B570" s="2">
        <v>3786.7543528224451</v>
      </c>
      <c r="C570" s="2">
        <v>35924.245647177551</v>
      </c>
      <c r="E570" s="2">
        <v>97.232142857142847</v>
      </c>
      <c r="F570" s="2">
        <v>6628695</v>
      </c>
    </row>
    <row r="571" spans="1:6" x14ac:dyDescent="0.2">
      <c r="A571" s="2">
        <v>546</v>
      </c>
      <c r="B571" s="2">
        <v>193368.12155791977</v>
      </c>
      <c r="C571" s="2">
        <v>96426.878442080226</v>
      </c>
      <c r="E571" s="2">
        <v>97.410714285714278</v>
      </c>
      <c r="F571" s="2">
        <v>6860837</v>
      </c>
    </row>
    <row r="572" spans="1:6" x14ac:dyDescent="0.2">
      <c r="A572" s="2">
        <v>547</v>
      </c>
      <c r="B572" s="2">
        <v>25548.295360737044</v>
      </c>
      <c r="C572" s="2">
        <v>6168.7046392629563</v>
      </c>
      <c r="E572" s="2">
        <v>97.589285714285708</v>
      </c>
      <c r="F572" s="2">
        <v>6896574</v>
      </c>
    </row>
    <row r="573" spans="1:6" x14ac:dyDescent="0.2">
      <c r="A573" s="2">
        <v>548</v>
      </c>
      <c r="B573" s="2">
        <v>1736389.4795296036</v>
      </c>
      <c r="C573" s="2">
        <v>658167.52047039638</v>
      </c>
      <c r="E573" s="2">
        <v>97.767857142857139</v>
      </c>
      <c r="F573" s="2">
        <v>7793725</v>
      </c>
    </row>
    <row r="574" spans="1:6" x14ac:dyDescent="0.2">
      <c r="A574" s="2">
        <v>549</v>
      </c>
      <c r="B574" s="2">
        <v>2296723.6851909002</v>
      </c>
      <c r="C574" s="2">
        <v>-1657035.6851909002</v>
      </c>
      <c r="E574" s="2">
        <v>97.946428571428569</v>
      </c>
      <c r="F574" s="2">
        <v>9877070</v>
      </c>
    </row>
    <row r="575" spans="1:6" x14ac:dyDescent="0.2">
      <c r="A575" s="2">
        <v>550</v>
      </c>
      <c r="B575" s="2">
        <v>-3737.1944607010282</v>
      </c>
      <c r="C575" s="2">
        <v>6577.1944607010282</v>
      </c>
      <c r="E575" s="2">
        <v>98.125</v>
      </c>
      <c r="F575" s="2">
        <v>10303977</v>
      </c>
    </row>
    <row r="576" spans="1:6" x14ac:dyDescent="0.2">
      <c r="A576" s="2">
        <v>551</v>
      </c>
      <c r="B576" s="2">
        <v>2325375.5704596429</v>
      </c>
      <c r="C576" s="2">
        <v>1836210.4295403571</v>
      </c>
      <c r="E576" s="2">
        <v>98.303571428571431</v>
      </c>
      <c r="F576" s="2">
        <v>10533180</v>
      </c>
    </row>
    <row r="577" spans="1:6" x14ac:dyDescent="0.2">
      <c r="A577" s="2">
        <v>552</v>
      </c>
      <c r="B577" s="2">
        <v>1422790.96025076</v>
      </c>
      <c r="C577" s="2">
        <v>-1045116.96025076</v>
      </c>
      <c r="E577" s="2">
        <v>98.482142857142847</v>
      </c>
      <c r="F577" s="2">
        <v>10806135</v>
      </c>
    </row>
    <row r="578" spans="1:6" x14ac:dyDescent="0.2">
      <c r="A578" s="2">
        <v>553</v>
      </c>
      <c r="B578" s="2">
        <v>440912.8920026932</v>
      </c>
      <c r="C578" s="2">
        <v>-38565.892002693203</v>
      </c>
      <c r="E578" s="2">
        <v>98.660714285714278</v>
      </c>
      <c r="F578" s="2">
        <v>15214105</v>
      </c>
    </row>
    <row r="579" spans="1:6" x14ac:dyDescent="0.2">
      <c r="A579" s="2">
        <v>554</v>
      </c>
      <c r="B579" s="2">
        <v>172759.41106592031</v>
      </c>
      <c r="C579" s="2">
        <v>305161.58893407969</v>
      </c>
      <c r="E579" s="2">
        <v>98.839285714285708</v>
      </c>
      <c r="F579" s="2">
        <v>16740852</v>
      </c>
    </row>
    <row r="580" spans="1:6" x14ac:dyDescent="0.2">
      <c r="A580" s="2">
        <v>555</v>
      </c>
      <c r="B580" s="2">
        <v>108717.19036840685</v>
      </c>
      <c r="C580" s="2">
        <v>102372.80963159315</v>
      </c>
      <c r="E580" s="2">
        <v>99.017857142857139</v>
      </c>
      <c r="F580" s="2">
        <v>19292554</v>
      </c>
    </row>
    <row r="581" spans="1:6" x14ac:dyDescent="0.2">
      <c r="A581" s="2">
        <v>556</v>
      </c>
      <c r="B581" s="2">
        <v>333084.98071007978</v>
      </c>
      <c r="C581" s="2">
        <v>-304188.98071007978</v>
      </c>
      <c r="E581" s="2">
        <v>99.196428571428569</v>
      </c>
      <c r="F581" s="2">
        <v>25112803</v>
      </c>
    </row>
    <row r="582" spans="1:6" x14ac:dyDescent="0.2">
      <c r="A582" s="2">
        <v>557</v>
      </c>
      <c r="B582" s="2">
        <v>1166290.4290541082</v>
      </c>
      <c r="C582" s="2">
        <v>450914.57094589178</v>
      </c>
      <c r="E582" s="2">
        <v>99.375</v>
      </c>
      <c r="F582" s="2">
        <v>30938595</v>
      </c>
    </row>
    <row r="583" spans="1:6" x14ac:dyDescent="0.2">
      <c r="A583" s="2">
        <v>558</v>
      </c>
      <c r="B583" s="2">
        <v>864813.86123511707</v>
      </c>
      <c r="C583" s="2">
        <v>71651.138764882926</v>
      </c>
      <c r="E583" s="2">
        <v>99.553571428571431</v>
      </c>
      <c r="F583" s="2">
        <v>32941809</v>
      </c>
    </row>
    <row r="584" spans="1:6" x14ac:dyDescent="0.2">
      <c r="A584" s="2">
        <v>559</v>
      </c>
      <c r="B584" s="2">
        <v>449943.07309205271</v>
      </c>
      <c r="C584" s="2">
        <v>47068.926907947287</v>
      </c>
      <c r="E584" s="2">
        <v>99.732142857142847</v>
      </c>
      <c r="F584" s="2">
        <v>38143192</v>
      </c>
    </row>
    <row r="585" spans="1:6" ht="17" thickBot="1" x14ac:dyDescent="0.25">
      <c r="A585" s="3">
        <v>560</v>
      </c>
      <c r="B585" s="3">
        <v>4643073.7981251432</v>
      </c>
      <c r="C585" s="3">
        <v>1313794.2018748568</v>
      </c>
      <c r="E585" s="3">
        <v>99.910714285714278</v>
      </c>
      <c r="F585" s="3">
        <v>41497994</v>
      </c>
    </row>
  </sheetData>
  <sortState xmlns:xlrd2="http://schemas.microsoft.com/office/spreadsheetml/2017/richdata2" ref="F26:F585">
    <sortCondition ref="F2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C8CE3-C833-DF42-BC91-E0B0D0DD3E19}">
  <dimension ref="A1:I584"/>
  <sheetViews>
    <sheetView workbookViewId="0">
      <selection activeCell="C33" sqref="C33"/>
    </sheetView>
  </sheetViews>
  <sheetFormatPr baseColWidth="10" defaultRowHeight="16" x14ac:dyDescent="0.2"/>
  <cols>
    <col min="1" max="1" width="19.6640625" customWidth="1"/>
    <col min="3" max="3" width="19.83203125" customWidth="1"/>
    <col min="6" max="6" width="14.6640625" customWidth="1"/>
  </cols>
  <sheetData>
    <row r="1" spans="1:9" x14ac:dyDescent="0.2">
      <c r="A1" t="s">
        <v>520</v>
      </c>
    </row>
    <row r="2" spans="1:9" ht="17" thickBot="1" x14ac:dyDescent="0.25"/>
    <row r="3" spans="1:9" x14ac:dyDescent="0.2">
      <c r="A3" s="5" t="s">
        <v>521</v>
      </c>
      <c r="B3" s="5"/>
    </row>
    <row r="4" spans="1:9" x14ac:dyDescent="0.2">
      <c r="A4" s="2" t="s">
        <v>522</v>
      </c>
      <c r="B4" s="2">
        <v>0.78105417453309867</v>
      </c>
    </row>
    <row r="5" spans="1:9" x14ac:dyDescent="0.2">
      <c r="A5" s="2" t="s">
        <v>523</v>
      </c>
      <c r="B5" s="2">
        <v>0.61004562355558012</v>
      </c>
    </row>
    <row r="6" spans="1:9" x14ac:dyDescent="0.2">
      <c r="A6" s="2" t="s">
        <v>524</v>
      </c>
      <c r="B6" s="2">
        <v>0.60934678058704173</v>
      </c>
    </row>
    <row r="7" spans="1:9" x14ac:dyDescent="0.2">
      <c r="A7" s="2" t="s">
        <v>525</v>
      </c>
      <c r="B7" s="2">
        <v>2315807.0638790643</v>
      </c>
    </row>
    <row r="8" spans="1:9" ht="17" thickBot="1" x14ac:dyDescent="0.25">
      <c r="A8" s="3" t="s">
        <v>526</v>
      </c>
      <c r="B8" s="3">
        <v>560</v>
      </c>
    </row>
    <row r="10" spans="1:9" ht="17" thickBot="1" x14ac:dyDescent="0.25">
      <c r="A10" t="s">
        <v>527</v>
      </c>
    </row>
    <row r="11" spans="1:9" x14ac:dyDescent="0.2">
      <c r="A11" s="4"/>
      <c r="B11" s="4" t="s">
        <v>532</v>
      </c>
      <c r="C11" s="4" t="s">
        <v>533</v>
      </c>
      <c r="D11" s="4" t="s">
        <v>534</v>
      </c>
      <c r="E11" s="4" t="s">
        <v>535</v>
      </c>
      <c r="F11" s="4" t="s">
        <v>536</v>
      </c>
    </row>
    <row r="12" spans="1:9" x14ac:dyDescent="0.2">
      <c r="A12" s="2" t="s">
        <v>528</v>
      </c>
      <c r="B12" s="2">
        <v>1</v>
      </c>
      <c r="C12" s="2">
        <v>4681526269187740</v>
      </c>
      <c r="D12" s="2">
        <v>4681526269187740</v>
      </c>
      <c r="E12" s="2">
        <v>872.93662670953938</v>
      </c>
      <c r="F12" s="2">
        <v>3.3736712048860763E-116</v>
      </c>
    </row>
    <row r="13" spans="1:9" x14ac:dyDescent="0.2">
      <c r="A13" s="2" t="s">
        <v>529</v>
      </c>
      <c r="B13" s="2">
        <v>558</v>
      </c>
      <c r="C13" s="2">
        <v>2992532995268592.5</v>
      </c>
      <c r="D13" s="2">
        <v>5362962357112.1729</v>
      </c>
      <c r="E13" s="2"/>
      <c r="F13" s="2"/>
    </row>
    <row r="14" spans="1:9" ht="17" thickBot="1" x14ac:dyDescent="0.25">
      <c r="A14" s="3" t="s">
        <v>530</v>
      </c>
      <c r="B14" s="3">
        <v>559</v>
      </c>
      <c r="C14" s="3">
        <v>7674059264456332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537</v>
      </c>
      <c r="C16" s="4" t="s">
        <v>525</v>
      </c>
      <c r="D16" s="4" t="s">
        <v>538</v>
      </c>
      <c r="E16" s="4" t="s">
        <v>539</v>
      </c>
      <c r="F16" s="4" t="s">
        <v>540</v>
      </c>
      <c r="G16" s="4" t="s">
        <v>541</v>
      </c>
      <c r="H16" s="4" t="s">
        <v>542</v>
      </c>
      <c r="I16" s="4" t="s">
        <v>543</v>
      </c>
    </row>
    <row r="17" spans="1:9" x14ac:dyDescent="0.2">
      <c r="A17" s="2" t="s">
        <v>531</v>
      </c>
      <c r="B17" s="2">
        <v>13853.553229434649</v>
      </c>
      <c r="C17" s="2">
        <v>105366.67180112787</v>
      </c>
      <c r="D17" s="2">
        <v>0.13147946112962786</v>
      </c>
      <c r="E17" s="2">
        <v>0.89544342404184241</v>
      </c>
      <c r="F17" s="2">
        <v>-193110.23935274937</v>
      </c>
      <c r="G17" s="2">
        <v>220817.34581161867</v>
      </c>
      <c r="H17" s="2">
        <v>-193110.23935274937</v>
      </c>
      <c r="I17" s="2">
        <v>220817.34581161867</v>
      </c>
    </row>
    <row r="18" spans="1:9" ht="17" thickBot="1" x14ac:dyDescent="0.25">
      <c r="A18" s="3" t="s">
        <v>1</v>
      </c>
      <c r="B18" s="3">
        <v>366.33324311662824</v>
      </c>
      <c r="C18" s="3">
        <v>12.398951829206853</v>
      </c>
      <c r="D18" s="3">
        <v>29.545500955467634</v>
      </c>
      <c r="E18" s="3">
        <v>3.3736712048862679E-116</v>
      </c>
      <c r="F18" s="3">
        <v>341.97891882459919</v>
      </c>
      <c r="G18" s="3">
        <v>390.68756740865729</v>
      </c>
      <c r="H18" s="3">
        <v>341.97891882459919</v>
      </c>
      <c r="I18" s="3">
        <v>390.68756740865729</v>
      </c>
    </row>
    <row r="22" spans="1:9" x14ac:dyDescent="0.2">
      <c r="A22" t="s">
        <v>544</v>
      </c>
      <c r="E22" t="s">
        <v>548</v>
      </c>
    </row>
    <row r="23" spans="1:9" ht="17" thickBot="1" x14ac:dyDescent="0.25"/>
    <row r="24" spans="1:9" x14ac:dyDescent="0.2">
      <c r="A24" s="4" t="s">
        <v>545</v>
      </c>
      <c r="B24" s="4" t="s">
        <v>546</v>
      </c>
      <c r="C24" s="4" t="s">
        <v>547</v>
      </c>
      <c r="E24" s="4" t="s">
        <v>549</v>
      </c>
      <c r="F24" s="4" t="s">
        <v>2</v>
      </c>
    </row>
    <row r="25" spans="1:9" x14ac:dyDescent="0.2">
      <c r="A25" s="2">
        <v>1</v>
      </c>
      <c r="B25" s="2">
        <v>14219.886472551278</v>
      </c>
      <c r="C25" s="2">
        <v>-13959.886472551278</v>
      </c>
      <c r="E25" s="2">
        <v>8.9285714285714288E-2</v>
      </c>
      <c r="F25" s="2">
        <v>1</v>
      </c>
    </row>
    <row r="26" spans="1:9" x14ac:dyDescent="0.2">
      <c r="A26" s="2">
        <v>2</v>
      </c>
      <c r="B26" s="2">
        <v>3218903.0972568151</v>
      </c>
      <c r="C26" s="2">
        <v>862545.90274318494</v>
      </c>
      <c r="E26" s="2">
        <v>0.26785714285714285</v>
      </c>
      <c r="F26" s="2">
        <v>1</v>
      </c>
    </row>
    <row r="27" spans="1:9" x14ac:dyDescent="0.2">
      <c r="A27" s="2">
        <v>3</v>
      </c>
      <c r="B27" s="2">
        <v>14586.219715667905</v>
      </c>
      <c r="C27" s="2">
        <v>-13857.219715667905</v>
      </c>
      <c r="E27" s="2">
        <v>0.44642857142857145</v>
      </c>
      <c r="F27" s="2">
        <v>1</v>
      </c>
    </row>
    <row r="28" spans="1:9" x14ac:dyDescent="0.2">
      <c r="A28" s="2">
        <v>4</v>
      </c>
      <c r="B28" s="2">
        <v>352345.46986919915</v>
      </c>
      <c r="C28" s="2">
        <v>454457.53013080085</v>
      </c>
      <c r="E28" s="2">
        <v>0.625</v>
      </c>
      <c r="F28" s="2">
        <v>2</v>
      </c>
    </row>
    <row r="29" spans="1:9" x14ac:dyDescent="0.2">
      <c r="A29" s="2">
        <v>5</v>
      </c>
      <c r="B29" s="2">
        <v>2776738.8728150446</v>
      </c>
      <c r="C29" s="2">
        <v>2657902.1271849554</v>
      </c>
      <c r="E29" s="2">
        <v>0.8035714285714286</v>
      </c>
      <c r="F29" s="2">
        <v>4</v>
      </c>
    </row>
    <row r="30" spans="1:9" x14ac:dyDescent="0.2">
      <c r="A30" s="2">
        <v>6</v>
      </c>
      <c r="B30" s="2">
        <v>1235208.5857802732</v>
      </c>
      <c r="C30" s="2">
        <v>2047066.4142197268</v>
      </c>
      <c r="E30" s="2">
        <v>0.98214285714285721</v>
      </c>
      <c r="F30" s="2">
        <v>4</v>
      </c>
    </row>
    <row r="31" spans="1:9" x14ac:dyDescent="0.2">
      <c r="A31" s="2">
        <v>7</v>
      </c>
      <c r="B31" s="2">
        <v>123753.52616442312</v>
      </c>
      <c r="C31" s="2">
        <v>32457.473835576879</v>
      </c>
      <c r="E31" s="2">
        <v>1.1607142857142856</v>
      </c>
      <c r="F31" s="2">
        <v>11</v>
      </c>
    </row>
    <row r="32" spans="1:9" x14ac:dyDescent="0.2">
      <c r="A32" s="2">
        <v>8</v>
      </c>
      <c r="B32" s="2">
        <v>59278.875375896547</v>
      </c>
      <c r="C32" s="2">
        <v>11016.124624103453</v>
      </c>
      <c r="E32" s="2">
        <v>1.3392857142857142</v>
      </c>
      <c r="F32" s="2">
        <v>68</v>
      </c>
    </row>
    <row r="33" spans="1:6" x14ac:dyDescent="0.2">
      <c r="A33" s="2">
        <v>9</v>
      </c>
      <c r="B33" s="2">
        <v>68437.20645381225</v>
      </c>
      <c r="C33" s="2">
        <v>-29480.20645381225</v>
      </c>
      <c r="E33" s="2">
        <v>1.5178571428571428</v>
      </c>
      <c r="F33" s="2">
        <v>69</v>
      </c>
    </row>
    <row r="34" spans="1:6" x14ac:dyDescent="0.2">
      <c r="A34" s="2">
        <v>10</v>
      </c>
      <c r="B34" s="2">
        <v>95545.866444442741</v>
      </c>
      <c r="C34" s="2">
        <v>35703.133555557259</v>
      </c>
      <c r="E34" s="2">
        <v>1.6964285714285714</v>
      </c>
      <c r="F34" s="2">
        <v>97</v>
      </c>
    </row>
    <row r="35" spans="1:6" x14ac:dyDescent="0.2">
      <c r="A35" s="2">
        <v>11</v>
      </c>
      <c r="B35" s="2">
        <v>58546.208889663292</v>
      </c>
      <c r="C35" s="2">
        <v>-2007.2088896632922</v>
      </c>
      <c r="E35" s="2">
        <v>1.875</v>
      </c>
      <c r="F35" s="2">
        <v>247</v>
      </c>
    </row>
    <row r="36" spans="1:6" x14ac:dyDescent="0.2">
      <c r="A36" s="2">
        <v>12</v>
      </c>
      <c r="B36" s="2">
        <v>200683.50721891504</v>
      </c>
      <c r="C36" s="2">
        <v>-124646.50721891504</v>
      </c>
      <c r="E36" s="2">
        <v>2.0535714285714288</v>
      </c>
      <c r="F36" s="2">
        <v>260</v>
      </c>
    </row>
    <row r="37" spans="1:6" x14ac:dyDescent="0.2">
      <c r="A37" s="2">
        <v>13</v>
      </c>
      <c r="B37" s="2">
        <v>124486.19265065638</v>
      </c>
      <c r="C37" s="2">
        <v>-93979.192650656376</v>
      </c>
      <c r="E37" s="2">
        <v>2.2321428571428572</v>
      </c>
      <c r="F37" s="2">
        <v>277</v>
      </c>
    </row>
    <row r="38" spans="1:6" x14ac:dyDescent="0.2">
      <c r="A38" s="2">
        <v>14</v>
      </c>
      <c r="B38" s="2">
        <v>108001.19671040811</v>
      </c>
      <c r="C38" s="2">
        <v>93875.803289591888</v>
      </c>
      <c r="E38" s="2">
        <v>2.410714285714286</v>
      </c>
      <c r="F38" s="2">
        <v>280</v>
      </c>
    </row>
    <row r="39" spans="1:6" x14ac:dyDescent="0.2">
      <c r="A39" s="2">
        <v>15</v>
      </c>
      <c r="B39" s="2">
        <v>45358.212137464681</v>
      </c>
      <c r="C39" s="2">
        <v>-35527.212137464681</v>
      </c>
      <c r="E39" s="2">
        <v>2.5892857142857144</v>
      </c>
      <c r="F39" s="2">
        <v>284</v>
      </c>
    </row>
    <row r="40" spans="1:6" x14ac:dyDescent="0.2">
      <c r="A40" s="2">
        <v>16</v>
      </c>
      <c r="B40" s="2">
        <v>16784.219174367674</v>
      </c>
      <c r="C40" s="2">
        <v>-15975.219174367674</v>
      </c>
      <c r="E40" s="2">
        <v>2.7678571428571432</v>
      </c>
      <c r="F40" s="2">
        <v>284</v>
      </c>
    </row>
    <row r="41" spans="1:6" x14ac:dyDescent="0.2">
      <c r="A41" s="2">
        <v>17</v>
      </c>
      <c r="B41" s="2">
        <v>1290158.5722477674</v>
      </c>
      <c r="C41" s="2">
        <v>-188933.57224776736</v>
      </c>
      <c r="E41" s="2">
        <v>2.9464285714285716</v>
      </c>
      <c r="F41" s="2">
        <v>332</v>
      </c>
    </row>
    <row r="42" spans="1:6" x14ac:dyDescent="0.2">
      <c r="A42" s="2">
        <v>18</v>
      </c>
      <c r="B42" s="2">
        <v>355276.13581413217</v>
      </c>
      <c r="C42" s="2">
        <v>-257683.13581413217</v>
      </c>
      <c r="E42" s="2">
        <v>3.125</v>
      </c>
      <c r="F42" s="2">
        <v>354</v>
      </c>
    </row>
    <row r="43" spans="1:6" x14ac:dyDescent="0.2">
      <c r="A43" s="2">
        <v>19</v>
      </c>
      <c r="B43" s="2">
        <v>128882.19156805592</v>
      </c>
      <c r="C43" s="2">
        <v>28283.808431944082</v>
      </c>
      <c r="E43" s="2">
        <v>3.3035714285714288</v>
      </c>
      <c r="F43" s="2">
        <v>445</v>
      </c>
    </row>
    <row r="44" spans="1:6" x14ac:dyDescent="0.2">
      <c r="A44" s="2">
        <v>20</v>
      </c>
      <c r="B44" s="2">
        <v>4032162.8969757296</v>
      </c>
      <c r="C44" s="2">
        <v>1297797.1030242704</v>
      </c>
      <c r="E44" s="2">
        <v>3.4821428571428572</v>
      </c>
      <c r="F44" s="2">
        <v>460</v>
      </c>
    </row>
    <row r="45" spans="1:6" x14ac:dyDescent="0.2">
      <c r="A45" s="2">
        <v>21</v>
      </c>
      <c r="B45" s="2">
        <v>84555.869150943894</v>
      </c>
      <c r="C45" s="2">
        <v>49002.130849056106</v>
      </c>
      <c r="E45" s="2">
        <v>3.660714285714286</v>
      </c>
      <c r="F45" s="2">
        <v>519</v>
      </c>
    </row>
    <row r="46" spans="1:6" x14ac:dyDescent="0.2">
      <c r="A46" s="2">
        <v>22</v>
      </c>
      <c r="B46" s="2">
        <v>82724.20293536075</v>
      </c>
      <c r="C46" s="2">
        <v>72653.79706463925</v>
      </c>
      <c r="E46" s="2">
        <v>3.8392857142857144</v>
      </c>
      <c r="F46" s="2">
        <v>636</v>
      </c>
    </row>
    <row r="47" spans="1:6" x14ac:dyDescent="0.2">
      <c r="A47" s="2">
        <v>23</v>
      </c>
      <c r="B47" s="2">
        <v>80526.203476660987</v>
      </c>
      <c r="C47" s="2">
        <v>-676.20347666098678</v>
      </c>
      <c r="E47" s="2">
        <v>4.0178571428571432</v>
      </c>
      <c r="F47" s="2">
        <v>643</v>
      </c>
    </row>
    <row r="48" spans="1:6" x14ac:dyDescent="0.2">
      <c r="A48" s="2">
        <v>24</v>
      </c>
      <c r="B48" s="2">
        <v>4621226.7519072676</v>
      </c>
      <c r="C48" s="2">
        <v>-3324295.7519072676</v>
      </c>
      <c r="E48" s="2">
        <v>4.1964285714285721</v>
      </c>
      <c r="F48" s="2">
        <v>645</v>
      </c>
    </row>
    <row r="49" spans="1:6" x14ac:dyDescent="0.2">
      <c r="A49" s="2">
        <v>25</v>
      </c>
      <c r="B49" s="2">
        <v>2260941.6665068325</v>
      </c>
      <c r="C49" s="2">
        <v>-1617544.6665068325</v>
      </c>
      <c r="E49" s="2">
        <v>4.375</v>
      </c>
      <c r="F49" s="2">
        <v>695</v>
      </c>
    </row>
    <row r="50" spans="1:6" x14ac:dyDescent="0.2">
      <c r="A50" s="2">
        <v>26</v>
      </c>
      <c r="B50" s="2">
        <v>265158.15800744161</v>
      </c>
      <c r="C50" s="2">
        <v>-93691.158007441612</v>
      </c>
      <c r="E50" s="2">
        <v>4.5535714285714288</v>
      </c>
      <c r="F50" s="2">
        <v>729</v>
      </c>
    </row>
    <row r="51" spans="1:6" x14ac:dyDescent="0.2">
      <c r="A51" s="2">
        <v>27</v>
      </c>
      <c r="B51" s="2">
        <v>101040.86509119217</v>
      </c>
      <c r="C51" s="2">
        <v>4990.1349088078277</v>
      </c>
      <c r="E51" s="2">
        <v>4.7321428571428577</v>
      </c>
      <c r="F51" s="2">
        <v>809</v>
      </c>
    </row>
    <row r="52" spans="1:6" x14ac:dyDescent="0.2">
      <c r="A52" s="2">
        <v>28</v>
      </c>
      <c r="B52" s="2">
        <v>80892.536719777621</v>
      </c>
      <c r="C52" s="2">
        <v>8654.4632802223787</v>
      </c>
      <c r="E52" s="2">
        <v>4.9107142857142856</v>
      </c>
      <c r="F52" s="2">
        <v>975</v>
      </c>
    </row>
    <row r="53" spans="1:6" x14ac:dyDescent="0.2">
      <c r="A53" s="2">
        <v>29</v>
      </c>
      <c r="B53" s="2">
        <v>21180.218091767212</v>
      </c>
      <c r="C53" s="2">
        <v>-15897.218091767212</v>
      </c>
      <c r="E53" s="2">
        <v>5.0892857142857144</v>
      </c>
      <c r="F53" s="2">
        <v>1063</v>
      </c>
    </row>
    <row r="54" spans="1:6" x14ac:dyDescent="0.2">
      <c r="A54" s="2">
        <v>30</v>
      </c>
      <c r="B54" s="2">
        <v>14219.886472551278</v>
      </c>
      <c r="C54" s="2">
        <v>-13865.886472551278</v>
      </c>
      <c r="E54" s="2">
        <v>5.2678571428571432</v>
      </c>
      <c r="F54" s="2">
        <v>1455</v>
      </c>
    </row>
    <row r="55" spans="1:6" x14ac:dyDescent="0.2">
      <c r="A55" s="2">
        <v>31</v>
      </c>
      <c r="B55" s="2">
        <v>219000.16937474647</v>
      </c>
      <c r="C55" s="2">
        <v>62283.830625253526</v>
      </c>
      <c r="E55" s="2">
        <v>5.4464285714285721</v>
      </c>
      <c r="F55" s="2">
        <v>1597</v>
      </c>
    </row>
    <row r="56" spans="1:6" x14ac:dyDescent="0.2">
      <c r="A56" s="2">
        <v>32</v>
      </c>
      <c r="B56" s="2">
        <v>121189.19346260672</v>
      </c>
      <c r="C56" s="2">
        <v>125121.80653739328</v>
      </c>
      <c r="E56" s="2">
        <v>5.625</v>
      </c>
      <c r="F56" s="2">
        <v>1816</v>
      </c>
    </row>
    <row r="57" spans="1:6" x14ac:dyDescent="0.2">
      <c r="A57" s="2">
        <v>33</v>
      </c>
      <c r="B57" s="2">
        <v>2286218.6602818798</v>
      </c>
      <c r="C57" s="2">
        <v>-1636038.6602818798</v>
      </c>
      <c r="E57" s="2">
        <v>5.8035714285714288</v>
      </c>
      <c r="F57" s="2">
        <v>2054</v>
      </c>
    </row>
    <row r="58" spans="1:6" x14ac:dyDescent="0.2">
      <c r="A58" s="2">
        <v>34</v>
      </c>
      <c r="B58" s="2">
        <v>62942.207807062834</v>
      </c>
      <c r="C58" s="2">
        <v>-49680.207807062834</v>
      </c>
      <c r="E58" s="2">
        <v>5.9821428571428577</v>
      </c>
      <c r="F58" s="2">
        <v>2061</v>
      </c>
    </row>
    <row r="59" spans="1:6" x14ac:dyDescent="0.2">
      <c r="A59" s="2">
        <v>35</v>
      </c>
      <c r="B59" s="2">
        <v>1835628.771248427</v>
      </c>
      <c r="C59" s="2">
        <v>-809675.77124842699</v>
      </c>
      <c r="E59" s="2">
        <v>6.1607142857142856</v>
      </c>
      <c r="F59" s="2">
        <v>2069</v>
      </c>
    </row>
    <row r="60" spans="1:6" x14ac:dyDescent="0.2">
      <c r="A60" s="2">
        <v>36</v>
      </c>
      <c r="B60" s="2">
        <v>1204436.5933584764</v>
      </c>
      <c r="C60" s="2">
        <v>443115.40664152359</v>
      </c>
      <c r="E60" s="2">
        <v>6.3392857142857144</v>
      </c>
      <c r="F60" s="2">
        <v>2538</v>
      </c>
    </row>
    <row r="61" spans="1:6" x14ac:dyDescent="0.2">
      <c r="A61" s="2">
        <v>37</v>
      </c>
      <c r="B61" s="2">
        <v>15685.21944501779</v>
      </c>
      <c r="C61" s="2">
        <v>-15225.21944501779</v>
      </c>
      <c r="E61" s="2">
        <v>6.5178571428571432</v>
      </c>
      <c r="F61" s="2">
        <v>2585</v>
      </c>
    </row>
    <row r="62" spans="1:6" x14ac:dyDescent="0.2">
      <c r="A62" s="2">
        <v>38</v>
      </c>
      <c r="B62" s="2">
        <v>50120.544297980843</v>
      </c>
      <c r="C62" s="2">
        <v>-39102.544297980843</v>
      </c>
      <c r="E62" s="2">
        <v>6.6964285714285721</v>
      </c>
      <c r="F62" s="2">
        <v>2840</v>
      </c>
    </row>
    <row r="63" spans="1:6" x14ac:dyDescent="0.2">
      <c r="A63" s="2">
        <v>39</v>
      </c>
      <c r="B63" s="2">
        <v>742490.37378840824</v>
      </c>
      <c r="C63" s="2">
        <v>906977.62621159176</v>
      </c>
      <c r="E63" s="2">
        <v>6.875</v>
      </c>
      <c r="F63" s="2">
        <v>3160</v>
      </c>
    </row>
    <row r="64" spans="1:6" x14ac:dyDescent="0.2">
      <c r="A64" s="2">
        <v>40</v>
      </c>
      <c r="B64" s="2">
        <v>693768.05245389661</v>
      </c>
      <c r="C64" s="2">
        <v>838066.94754610339</v>
      </c>
      <c r="E64" s="2">
        <v>7.0535714285714288</v>
      </c>
      <c r="F64" s="2">
        <v>3391</v>
      </c>
    </row>
    <row r="65" spans="1:6" x14ac:dyDescent="0.2">
      <c r="A65" s="2">
        <v>41</v>
      </c>
      <c r="B65" s="2">
        <v>78694.537261077843</v>
      </c>
      <c r="C65" s="2">
        <v>82775.462738922157</v>
      </c>
      <c r="E65" s="2">
        <v>7.2321428571428577</v>
      </c>
      <c r="F65" s="2">
        <v>3465</v>
      </c>
    </row>
    <row r="66" spans="1:6" x14ac:dyDescent="0.2">
      <c r="A66" s="2">
        <v>42</v>
      </c>
      <c r="B66" s="2">
        <v>788282.02917798678</v>
      </c>
      <c r="C66" s="2">
        <v>-567445.02917798678</v>
      </c>
      <c r="E66" s="2">
        <v>7.4107142857142856</v>
      </c>
      <c r="F66" s="2">
        <v>3609</v>
      </c>
    </row>
    <row r="67" spans="1:6" x14ac:dyDescent="0.2">
      <c r="A67" s="2">
        <v>43</v>
      </c>
      <c r="B67" s="2">
        <v>316811.1452868862</v>
      </c>
      <c r="C67" s="2">
        <v>2102922.854713114</v>
      </c>
      <c r="E67" s="2">
        <v>7.5892857142857144</v>
      </c>
      <c r="F67" s="2">
        <v>3684</v>
      </c>
    </row>
    <row r="68" spans="1:6" x14ac:dyDescent="0.2">
      <c r="A68" s="2">
        <v>44</v>
      </c>
      <c r="B68" s="2">
        <v>59645.208619013181</v>
      </c>
      <c r="C68" s="2">
        <v>-46299.208619013181</v>
      </c>
      <c r="E68" s="2">
        <v>7.7678571428571432</v>
      </c>
      <c r="F68" s="2">
        <v>3808</v>
      </c>
    </row>
    <row r="69" spans="1:6" x14ac:dyDescent="0.2">
      <c r="A69" s="2">
        <v>45</v>
      </c>
      <c r="B69" s="2">
        <v>2285119.6605525296</v>
      </c>
      <c r="C69" s="2">
        <v>-1635378.6605525296</v>
      </c>
      <c r="E69" s="2">
        <v>7.9464285714285721</v>
      </c>
      <c r="F69" s="2">
        <v>3958</v>
      </c>
    </row>
    <row r="70" spans="1:6" x14ac:dyDescent="0.2">
      <c r="A70" s="2">
        <v>46</v>
      </c>
      <c r="B70" s="2">
        <v>68070.87321069563</v>
      </c>
      <c r="C70" s="2">
        <v>19192.12678930437</v>
      </c>
      <c r="E70" s="2">
        <v>8.125</v>
      </c>
      <c r="F70" s="2">
        <v>4320</v>
      </c>
    </row>
    <row r="71" spans="1:6" x14ac:dyDescent="0.2">
      <c r="A71" s="2">
        <v>47</v>
      </c>
      <c r="B71" s="2">
        <v>32170.215385266059</v>
      </c>
      <c r="C71" s="2">
        <v>-10014.215385266059</v>
      </c>
      <c r="E71" s="2">
        <v>8.3035714285714288</v>
      </c>
      <c r="F71" s="2">
        <v>4441</v>
      </c>
    </row>
    <row r="72" spans="1:6" x14ac:dyDescent="0.2">
      <c r="A72" s="2">
        <v>48</v>
      </c>
      <c r="B72" s="2">
        <v>25576.21700916675</v>
      </c>
      <c r="C72" s="2">
        <v>-7168.2170091667504</v>
      </c>
      <c r="E72" s="2">
        <v>8.4821428571428559</v>
      </c>
      <c r="F72" s="2">
        <v>4749</v>
      </c>
    </row>
    <row r="73" spans="1:6" x14ac:dyDescent="0.2">
      <c r="A73" s="2">
        <v>49</v>
      </c>
      <c r="B73" s="2">
        <v>25576.21700916675</v>
      </c>
      <c r="C73" s="2">
        <v>-11135.21700916675</v>
      </c>
      <c r="E73" s="2">
        <v>8.6607142857142847</v>
      </c>
      <c r="F73" s="2">
        <v>4760</v>
      </c>
    </row>
    <row r="74" spans="1:6" x14ac:dyDescent="0.2">
      <c r="A74" s="2">
        <v>50</v>
      </c>
      <c r="B74" s="2">
        <v>424513.11876317492</v>
      </c>
      <c r="C74" s="2">
        <v>-280202.11876317492</v>
      </c>
      <c r="E74" s="2">
        <v>8.8392857142857135</v>
      </c>
      <c r="F74" s="2">
        <v>4865</v>
      </c>
    </row>
    <row r="75" spans="1:6" x14ac:dyDescent="0.2">
      <c r="A75" s="2">
        <v>51</v>
      </c>
      <c r="B75" s="2">
        <v>26675.216738516639</v>
      </c>
      <c r="C75" s="2">
        <v>-9315.2167385166395</v>
      </c>
      <c r="E75" s="2">
        <v>9.0178571428571423</v>
      </c>
      <c r="F75" s="2">
        <v>4925</v>
      </c>
    </row>
    <row r="76" spans="1:6" x14ac:dyDescent="0.2">
      <c r="A76" s="2">
        <v>52</v>
      </c>
      <c r="B76" s="2">
        <v>217168.50315916332</v>
      </c>
      <c r="C76" s="2">
        <v>83300.496840836684</v>
      </c>
      <c r="E76" s="2">
        <v>9.1964285714285712</v>
      </c>
      <c r="F76" s="2">
        <v>5283</v>
      </c>
    </row>
    <row r="77" spans="1:6" x14ac:dyDescent="0.2">
      <c r="A77" s="2">
        <v>53</v>
      </c>
      <c r="B77" s="2">
        <v>335494.14068583422</v>
      </c>
      <c r="C77" s="2">
        <v>-107749.14068583422</v>
      </c>
      <c r="E77" s="2">
        <v>9.375</v>
      </c>
      <c r="F77" s="2">
        <v>5536</v>
      </c>
    </row>
    <row r="78" spans="1:6" x14ac:dyDescent="0.2">
      <c r="A78" s="2">
        <v>54</v>
      </c>
      <c r="B78" s="2">
        <v>114595.19508650742</v>
      </c>
      <c r="C78" s="2">
        <v>134107.80491349258</v>
      </c>
      <c r="E78" s="2">
        <v>9.5535714285714288</v>
      </c>
      <c r="F78" s="2">
        <v>5728</v>
      </c>
    </row>
    <row r="79" spans="1:6" x14ac:dyDescent="0.2">
      <c r="A79" s="2">
        <v>55</v>
      </c>
      <c r="B79" s="2">
        <v>61476.874834596318</v>
      </c>
      <c r="C79" s="2">
        <v>41518.125165403682</v>
      </c>
      <c r="E79" s="2">
        <v>9.7321428571428559</v>
      </c>
      <c r="F79" s="2">
        <v>5798</v>
      </c>
    </row>
    <row r="80" spans="1:6" x14ac:dyDescent="0.2">
      <c r="A80" s="2">
        <v>56</v>
      </c>
      <c r="B80" s="2">
        <v>2045171.3863111383</v>
      </c>
      <c r="C80" s="2">
        <v>267757.61368886172</v>
      </c>
      <c r="E80" s="2">
        <v>9.9107142857142847</v>
      </c>
      <c r="F80" s="2">
        <v>6093</v>
      </c>
    </row>
    <row r="81" spans="1:6" x14ac:dyDescent="0.2">
      <c r="A81" s="2">
        <v>57</v>
      </c>
      <c r="B81" s="2">
        <v>49387.877811747589</v>
      </c>
      <c r="C81" s="2">
        <v>-39838.877811747589</v>
      </c>
      <c r="E81" s="2">
        <v>10.089285714285714</v>
      </c>
      <c r="F81" s="2">
        <v>6351</v>
      </c>
    </row>
    <row r="82" spans="1:6" x14ac:dyDescent="0.2">
      <c r="A82" s="2">
        <v>58</v>
      </c>
      <c r="B82" s="2">
        <v>43160.212678764903</v>
      </c>
      <c r="C82" s="2">
        <v>4586.7873212350969</v>
      </c>
      <c r="E82" s="2">
        <v>10.267857142857142</v>
      </c>
      <c r="F82" s="2">
        <v>6608</v>
      </c>
    </row>
    <row r="83" spans="1:6" x14ac:dyDescent="0.2">
      <c r="A83" s="2">
        <v>59</v>
      </c>
      <c r="B83" s="2">
        <v>306920.14772273722</v>
      </c>
      <c r="C83" s="2">
        <v>-208698.14772273722</v>
      </c>
      <c r="E83" s="2">
        <v>10.446428571428571</v>
      </c>
      <c r="F83" s="2">
        <v>6736</v>
      </c>
    </row>
    <row r="84" spans="1:6" x14ac:dyDescent="0.2">
      <c r="A84" s="2">
        <v>60</v>
      </c>
      <c r="B84" s="2">
        <v>1230079.9203766405</v>
      </c>
      <c r="C84" s="2">
        <v>-108781.92037664051</v>
      </c>
      <c r="E84" s="2">
        <v>10.625</v>
      </c>
      <c r="F84" s="2">
        <v>6959</v>
      </c>
    </row>
    <row r="85" spans="1:6" x14ac:dyDescent="0.2">
      <c r="A85" s="2">
        <v>61</v>
      </c>
      <c r="B85" s="2">
        <v>4243903.5114971409</v>
      </c>
      <c r="C85" s="2">
        <v>-3053128.5114971409</v>
      </c>
      <c r="E85" s="2">
        <v>10.803571428571429</v>
      </c>
      <c r="F85" s="2">
        <v>8183</v>
      </c>
    </row>
    <row r="86" spans="1:6" x14ac:dyDescent="0.2">
      <c r="A86" s="2">
        <v>62</v>
      </c>
      <c r="B86" s="2">
        <v>8987552.676614359</v>
      </c>
      <c r="C86" s="2">
        <v>-6481740.676614359</v>
      </c>
      <c r="E86" s="2">
        <v>10.982142857142856</v>
      </c>
      <c r="F86" s="2">
        <v>8771</v>
      </c>
    </row>
    <row r="87" spans="1:6" x14ac:dyDescent="0.2">
      <c r="A87" s="2">
        <v>63</v>
      </c>
      <c r="B87" s="2">
        <v>12029583.92745484</v>
      </c>
      <c r="C87" s="2">
        <v>-8663345.9274548404</v>
      </c>
      <c r="E87" s="2">
        <v>11.160714285714285</v>
      </c>
      <c r="F87" s="2">
        <v>9549</v>
      </c>
    </row>
    <row r="88" spans="1:6" x14ac:dyDescent="0.2">
      <c r="A88" s="2">
        <v>64</v>
      </c>
      <c r="B88" s="2">
        <v>91149.867527043214</v>
      </c>
      <c r="C88" s="2">
        <v>33633.132472956786</v>
      </c>
      <c r="E88" s="2">
        <v>11.339285714285714</v>
      </c>
      <c r="F88" s="2">
        <v>9752</v>
      </c>
    </row>
    <row r="89" spans="1:6" x14ac:dyDescent="0.2">
      <c r="A89" s="2">
        <v>65</v>
      </c>
      <c r="B89" s="2">
        <v>732965.70946737588</v>
      </c>
      <c r="C89" s="2">
        <v>59447.290532624116</v>
      </c>
      <c r="E89" s="2">
        <v>11.517857142857142</v>
      </c>
      <c r="F89" s="2">
        <v>9831</v>
      </c>
    </row>
    <row r="90" spans="1:6" x14ac:dyDescent="0.2">
      <c r="A90" s="2">
        <v>66</v>
      </c>
      <c r="B90" s="2">
        <v>43160.212678764903</v>
      </c>
      <c r="C90" s="2">
        <v>6598.7873212350969</v>
      </c>
      <c r="E90" s="2">
        <v>11.696428571428571</v>
      </c>
      <c r="F90" s="2">
        <v>10444</v>
      </c>
    </row>
    <row r="91" spans="1:6" x14ac:dyDescent="0.2">
      <c r="A91" s="2">
        <v>67</v>
      </c>
      <c r="B91" s="2">
        <v>181267.84533373374</v>
      </c>
      <c r="C91" s="2">
        <v>-126097.84533373374</v>
      </c>
      <c r="E91" s="2">
        <v>11.875</v>
      </c>
      <c r="F91" s="2">
        <v>10542</v>
      </c>
    </row>
    <row r="92" spans="1:6" x14ac:dyDescent="0.2">
      <c r="A92" s="2">
        <v>68</v>
      </c>
      <c r="B92" s="2">
        <v>14151752.404829469</v>
      </c>
      <c r="C92" s="2">
        <v>18790056.595170531</v>
      </c>
      <c r="E92" s="2">
        <v>12.053571428571429</v>
      </c>
      <c r="F92" s="2">
        <v>10716</v>
      </c>
    </row>
    <row r="93" spans="1:6" x14ac:dyDescent="0.2">
      <c r="A93" s="2">
        <v>69</v>
      </c>
      <c r="B93" s="2">
        <v>1936004.079862383</v>
      </c>
      <c r="C93" s="2">
        <v>-1387422.079862383</v>
      </c>
      <c r="E93" s="2">
        <v>12.232142857142856</v>
      </c>
      <c r="F93" s="2">
        <v>10789</v>
      </c>
    </row>
    <row r="94" spans="1:6" x14ac:dyDescent="0.2">
      <c r="A94" s="2">
        <v>70</v>
      </c>
      <c r="B94" s="2">
        <v>790113.69539356988</v>
      </c>
      <c r="C94" s="2">
        <v>-568713.69539356988</v>
      </c>
      <c r="E94" s="2">
        <v>12.410714285714285</v>
      </c>
      <c r="F94" s="2">
        <v>11018</v>
      </c>
    </row>
    <row r="95" spans="1:6" x14ac:dyDescent="0.2">
      <c r="A95" s="2">
        <v>71</v>
      </c>
      <c r="B95" s="2">
        <v>1240703.5844270226</v>
      </c>
      <c r="C95" s="2">
        <v>404551.41557297739</v>
      </c>
      <c r="E95" s="2">
        <v>12.589285714285714</v>
      </c>
      <c r="F95" s="2">
        <v>11041</v>
      </c>
    </row>
    <row r="96" spans="1:6" x14ac:dyDescent="0.2">
      <c r="A96" s="2">
        <v>72</v>
      </c>
      <c r="B96" s="2">
        <v>15685.21944501779</v>
      </c>
      <c r="C96" s="2">
        <v>-12525.21944501779</v>
      </c>
      <c r="E96" s="2">
        <v>12.767857142857142</v>
      </c>
      <c r="F96" s="2">
        <v>11927</v>
      </c>
    </row>
    <row r="97" spans="1:6" x14ac:dyDescent="0.2">
      <c r="A97" s="2">
        <v>73</v>
      </c>
      <c r="B97" s="2">
        <v>33635.548357732572</v>
      </c>
      <c r="C97" s="2">
        <v>-27907.548357732572</v>
      </c>
      <c r="E97" s="2">
        <v>12.946428571428571</v>
      </c>
      <c r="F97" s="2">
        <v>12906</v>
      </c>
    </row>
    <row r="98" spans="1:6" x14ac:dyDescent="0.2">
      <c r="A98" s="2">
        <v>74</v>
      </c>
      <c r="B98" s="2">
        <v>178703.51263191734</v>
      </c>
      <c r="C98" s="2">
        <v>37936.487368082657</v>
      </c>
      <c r="E98" s="2">
        <v>13.125</v>
      </c>
      <c r="F98" s="2">
        <v>13262</v>
      </c>
    </row>
    <row r="99" spans="1:6" x14ac:dyDescent="0.2">
      <c r="A99" s="2">
        <v>75</v>
      </c>
      <c r="B99" s="2">
        <v>28873.216197216407</v>
      </c>
      <c r="C99" s="2">
        <v>-18157.216197216407</v>
      </c>
      <c r="E99" s="2">
        <v>13.303571428571429</v>
      </c>
      <c r="F99" s="2">
        <v>13346</v>
      </c>
    </row>
    <row r="100" spans="1:6" x14ac:dyDescent="0.2">
      <c r="A100" s="2">
        <v>76</v>
      </c>
      <c r="B100" s="2">
        <v>107634.86346729148</v>
      </c>
      <c r="C100" s="2">
        <v>-56463.863467291478</v>
      </c>
      <c r="E100" s="2">
        <v>13.482142857142856</v>
      </c>
      <c r="F100" s="2">
        <v>14441</v>
      </c>
    </row>
    <row r="101" spans="1:6" x14ac:dyDescent="0.2">
      <c r="A101" s="2">
        <v>77</v>
      </c>
      <c r="B101" s="2">
        <v>161119.51696231921</v>
      </c>
      <c r="C101" s="2">
        <v>-119285.51696231921</v>
      </c>
      <c r="E101" s="2">
        <v>13.660714285714285</v>
      </c>
      <c r="F101" s="2">
        <v>14753</v>
      </c>
    </row>
    <row r="102" spans="1:6" x14ac:dyDescent="0.2">
      <c r="A102" s="2">
        <v>78</v>
      </c>
      <c r="B102" s="2">
        <v>3915302.5924215252</v>
      </c>
      <c r="C102" s="2">
        <v>1259857.4075784748</v>
      </c>
      <c r="E102" s="2">
        <v>13.839285714285714</v>
      </c>
      <c r="F102" s="2">
        <v>15330</v>
      </c>
    </row>
    <row r="103" spans="1:6" x14ac:dyDescent="0.2">
      <c r="A103" s="2">
        <v>79</v>
      </c>
      <c r="B103" s="2">
        <v>20447.551605533958</v>
      </c>
      <c r="C103" s="2">
        <v>-15687.551605533958</v>
      </c>
      <c r="E103" s="2">
        <v>14.017857142857142</v>
      </c>
      <c r="F103" s="2">
        <v>15528</v>
      </c>
    </row>
    <row r="104" spans="1:6" x14ac:dyDescent="0.2">
      <c r="A104" s="2">
        <v>80</v>
      </c>
      <c r="B104" s="2">
        <v>3060647.1362304315</v>
      </c>
      <c r="C104" s="2">
        <v>1479913.8637695685</v>
      </c>
      <c r="E104" s="2">
        <v>14.196428571428571</v>
      </c>
      <c r="F104" s="2">
        <v>15555</v>
      </c>
    </row>
    <row r="105" spans="1:6" x14ac:dyDescent="0.2">
      <c r="A105" s="2">
        <v>81</v>
      </c>
      <c r="B105" s="2">
        <v>13853.553229434649</v>
      </c>
      <c r="C105" s="2">
        <v>-13784.553229434649</v>
      </c>
      <c r="E105" s="2">
        <v>14.375</v>
      </c>
      <c r="F105" s="2">
        <v>15707</v>
      </c>
    </row>
    <row r="106" spans="1:6" x14ac:dyDescent="0.2">
      <c r="A106" s="2">
        <v>82</v>
      </c>
      <c r="B106" s="2">
        <v>3844966.6097431332</v>
      </c>
      <c r="C106" s="2">
        <v>1237373.3902568668</v>
      </c>
      <c r="E106" s="2">
        <v>14.553571428571429</v>
      </c>
      <c r="F106" s="2">
        <v>15768</v>
      </c>
    </row>
    <row r="107" spans="1:6" x14ac:dyDescent="0.2">
      <c r="A107" s="2">
        <v>83</v>
      </c>
      <c r="B107" s="2">
        <v>68803.539696928885</v>
      </c>
      <c r="C107" s="2">
        <v>-9252.539696928885</v>
      </c>
      <c r="E107" s="2">
        <v>14.732142857142856</v>
      </c>
      <c r="F107" s="2">
        <v>15927</v>
      </c>
    </row>
    <row r="108" spans="1:6" x14ac:dyDescent="0.2">
      <c r="A108" s="2">
        <v>84</v>
      </c>
      <c r="B108" s="2">
        <v>102139.86482054206</v>
      </c>
      <c r="C108" s="2">
        <v>-19236.864820542061</v>
      </c>
      <c r="E108" s="2">
        <v>14.910714285714285</v>
      </c>
      <c r="F108" s="2">
        <v>16521</v>
      </c>
    </row>
    <row r="109" spans="1:6" x14ac:dyDescent="0.2">
      <c r="A109" s="2">
        <v>85</v>
      </c>
      <c r="B109" s="2">
        <v>15250752.134179352</v>
      </c>
      <c r="C109" s="2">
        <v>22892439.865820646</v>
      </c>
      <c r="E109" s="2">
        <v>15.089285714285714</v>
      </c>
      <c r="F109" s="2">
        <v>17360</v>
      </c>
    </row>
    <row r="110" spans="1:6" x14ac:dyDescent="0.2">
      <c r="A110" s="2">
        <v>86</v>
      </c>
      <c r="B110" s="2">
        <v>19714.885119300699</v>
      </c>
      <c r="C110" s="2">
        <v>-15394.885119300699</v>
      </c>
      <c r="E110" s="2">
        <v>15.267857142857142</v>
      </c>
      <c r="F110" s="2">
        <v>17413</v>
      </c>
    </row>
    <row r="111" spans="1:6" x14ac:dyDescent="0.2">
      <c r="A111" s="2">
        <v>87</v>
      </c>
      <c r="B111" s="2">
        <v>414622.12119902595</v>
      </c>
      <c r="C111" s="2">
        <v>-281279.12119902595</v>
      </c>
      <c r="E111" s="2">
        <v>15.446428571428571</v>
      </c>
      <c r="F111" s="2">
        <v>18104</v>
      </c>
    </row>
    <row r="112" spans="1:6" x14ac:dyDescent="0.2">
      <c r="A112" s="2">
        <v>88</v>
      </c>
      <c r="B112" s="2">
        <v>779123.69810007105</v>
      </c>
      <c r="C112" s="2">
        <v>5777.3018999289488</v>
      </c>
      <c r="E112" s="2">
        <v>15.625</v>
      </c>
      <c r="F112" s="2">
        <v>18117</v>
      </c>
    </row>
    <row r="113" spans="1:6" x14ac:dyDescent="0.2">
      <c r="A113" s="2">
        <v>89</v>
      </c>
      <c r="B113" s="2">
        <v>351246.47013984923</v>
      </c>
      <c r="C113" s="2">
        <v>248479.52986015077</v>
      </c>
      <c r="E113" s="2">
        <v>15.803571428571429</v>
      </c>
      <c r="F113" s="2">
        <v>18203</v>
      </c>
    </row>
    <row r="114" spans="1:6" x14ac:dyDescent="0.2">
      <c r="A114" s="2">
        <v>90</v>
      </c>
      <c r="B114" s="2">
        <v>60744.208348363063</v>
      </c>
      <c r="C114" s="2">
        <v>-5966.2083483630631</v>
      </c>
      <c r="E114" s="2">
        <v>15.982142857142856</v>
      </c>
      <c r="F114" s="2">
        <v>18408</v>
      </c>
    </row>
    <row r="115" spans="1:6" x14ac:dyDescent="0.2">
      <c r="A115" s="2">
        <v>91</v>
      </c>
      <c r="B115" s="2">
        <v>15252217.467151819</v>
      </c>
      <c r="C115" s="2">
        <v>-10893821.467151819</v>
      </c>
      <c r="E115" s="2">
        <v>16.160714285714288</v>
      </c>
      <c r="F115" s="2">
        <v>18614</v>
      </c>
    </row>
    <row r="116" spans="1:6" x14ac:dyDescent="0.2">
      <c r="A116" s="2">
        <v>92</v>
      </c>
      <c r="B116" s="2">
        <v>595590.74329864024</v>
      </c>
      <c r="C116" s="2">
        <v>79780.256701359758</v>
      </c>
      <c r="E116" s="2">
        <v>16.339285714285715</v>
      </c>
      <c r="F116" s="2">
        <v>18776</v>
      </c>
    </row>
    <row r="117" spans="1:6" x14ac:dyDescent="0.2">
      <c r="A117" s="2">
        <v>93</v>
      </c>
      <c r="B117" s="2">
        <v>13853.553229434649</v>
      </c>
      <c r="C117" s="2">
        <v>-13849.553229434649</v>
      </c>
      <c r="E117" s="2">
        <v>16.517857142857146</v>
      </c>
      <c r="F117" s="2">
        <v>19480</v>
      </c>
    </row>
    <row r="118" spans="1:6" x14ac:dyDescent="0.2">
      <c r="A118" s="2">
        <v>94</v>
      </c>
      <c r="B118" s="2">
        <v>80159.870233544367</v>
      </c>
      <c r="C118" s="2">
        <v>19357.129766455633</v>
      </c>
      <c r="E118" s="2">
        <v>16.696428571428573</v>
      </c>
      <c r="F118" s="2">
        <v>19573</v>
      </c>
    </row>
    <row r="119" spans="1:6" x14ac:dyDescent="0.2">
      <c r="A119" s="2">
        <v>95</v>
      </c>
      <c r="B119" s="2">
        <v>64041.207536412716</v>
      </c>
      <c r="C119" s="2">
        <v>-45265.207536412716</v>
      </c>
      <c r="E119" s="2">
        <v>16.875</v>
      </c>
      <c r="F119" s="2">
        <v>19589</v>
      </c>
    </row>
    <row r="120" spans="1:6" x14ac:dyDescent="0.2">
      <c r="A120" s="2">
        <v>96</v>
      </c>
      <c r="B120" s="2">
        <v>2286951.3267681133</v>
      </c>
      <c r="C120" s="2">
        <v>-1636634.3267681133</v>
      </c>
      <c r="E120" s="2">
        <v>17.053571428571431</v>
      </c>
      <c r="F120" s="2">
        <v>19726</v>
      </c>
    </row>
    <row r="121" spans="1:6" x14ac:dyDescent="0.2">
      <c r="A121" s="2">
        <v>97</v>
      </c>
      <c r="B121" s="2">
        <v>104704.19752235844</v>
      </c>
      <c r="C121" s="2">
        <v>92870.802477641555</v>
      </c>
      <c r="E121" s="2">
        <v>17.232142857142858</v>
      </c>
      <c r="F121" s="2">
        <v>20033</v>
      </c>
    </row>
    <row r="122" spans="1:6" x14ac:dyDescent="0.2">
      <c r="A122" s="2">
        <v>98</v>
      </c>
      <c r="B122" s="2">
        <v>3335397.0685679028</v>
      </c>
      <c r="C122" s="2">
        <v>-2384448.0685679028</v>
      </c>
      <c r="E122" s="2">
        <v>17.410714285714288</v>
      </c>
      <c r="F122" s="2">
        <v>21299</v>
      </c>
    </row>
    <row r="123" spans="1:6" x14ac:dyDescent="0.2">
      <c r="A123" s="2">
        <v>99</v>
      </c>
      <c r="B123" s="2">
        <v>121189.19346260672</v>
      </c>
      <c r="C123" s="2">
        <v>12130.806537393277</v>
      </c>
      <c r="E123" s="2">
        <v>17.589285714285715</v>
      </c>
      <c r="F123" s="2">
        <v>21400</v>
      </c>
    </row>
    <row r="124" spans="1:6" x14ac:dyDescent="0.2">
      <c r="A124" s="2">
        <v>100</v>
      </c>
      <c r="B124" s="2">
        <v>38031.547275132114</v>
      </c>
      <c r="C124" s="2">
        <v>-26104.547275132114</v>
      </c>
      <c r="E124" s="2">
        <v>17.767857142857146</v>
      </c>
      <c r="F124" s="2">
        <v>21492</v>
      </c>
    </row>
    <row r="125" spans="1:6" x14ac:dyDescent="0.2">
      <c r="A125" s="2">
        <v>101</v>
      </c>
      <c r="B125" s="2">
        <v>142070.18832025453</v>
      </c>
      <c r="C125" s="2">
        <v>621755.81167974544</v>
      </c>
      <c r="E125" s="2">
        <v>17.946428571428573</v>
      </c>
      <c r="F125" s="2">
        <v>21777</v>
      </c>
    </row>
    <row r="126" spans="1:6" x14ac:dyDescent="0.2">
      <c r="A126" s="2">
        <v>102</v>
      </c>
      <c r="B126" s="2">
        <v>135109.8567010386</v>
      </c>
      <c r="C126" s="2">
        <v>-97464.856701038603</v>
      </c>
      <c r="E126" s="2">
        <v>18.125</v>
      </c>
      <c r="F126" s="2">
        <v>22156</v>
      </c>
    </row>
    <row r="127" spans="1:6" x14ac:dyDescent="0.2">
      <c r="A127" s="2">
        <v>103</v>
      </c>
      <c r="B127" s="2">
        <v>21180.218091767212</v>
      </c>
      <c r="C127" s="2">
        <v>5898.7819082327878</v>
      </c>
      <c r="E127" s="2">
        <v>18.303571428571431</v>
      </c>
      <c r="F127" s="2">
        <v>22278</v>
      </c>
    </row>
    <row r="128" spans="1:6" x14ac:dyDescent="0.2">
      <c r="A128" s="2">
        <v>104</v>
      </c>
      <c r="B128" s="2">
        <v>1101496.952042704</v>
      </c>
      <c r="C128" s="2">
        <v>73899.047957296018</v>
      </c>
      <c r="E128" s="2">
        <v>18.482142857142858</v>
      </c>
      <c r="F128" s="2">
        <v>22409</v>
      </c>
    </row>
    <row r="129" spans="1:6" x14ac:dyDescent="0.2">
      <c r="A129" s="2">
        <v>105</v>
      </c>
      <c r="B129" s="2">
        <v>53417.543486030496</v>
      </c>
      <c r="C129" s="2">
        <v>25829.456513969504</v>
      </c>
      <c r="E129" s="2">
        <v>18.660714285714288</v>
      </c>
      <c r="F129" s="2">
        <v>22686</v>
      </c>
    </row>
    <row r="130" spans="1:6" x14ac:dyDescent="0.2">
      <c r="A130" s="2">
        <v>106</v>
      </c>
      <c r="B130" s="2">
        <v>27407.883224749894</v>
      </c>
      <c r="C130" s="2">
        <v>-17655.883224749894</v>
      </c>
      <c r="E130" s="2">
        <v>18.839285714285715</v>
      </c>
      <c r="F130" s="2">
        <v>23214</v>
      </c>
    </row>
    <row r="131" spans="1:6" x14ac:dyDescent="0.2">
      <c r="A131" s="2">
        <v>107</v>
      </c>
      <c r="B131" s="2">
        <v>77961.870774844589</v>
      </c>
      <c r="C131" s="2">
        <v>199931.1292251554</v>
      </c>
      <c r="E131" s="2">
        <v>19.017857142857146</v>
      </c>
      <c r="F131" s="2">
        <v>23745</v>
      </c>
    </row>
    <row r="132" spans="1:6" x14ac:dyDescent="0.2">
      <c r="A132" s="2">
        <v>108</v>
      </c>
      <c r="B132" s="2">
        <v>34001.881600849199</v>
      </c>
      <c r="C132" s="2">
        <v>-1584.8816008491995</v>
      </c>
      <c r="E132" s="2">
        <v>19.196428571428573</v>
      </c>
      <c r="F132" s="2">
        <v>26101</v>
      </c>
    </row>
    <row r="133" spans="1:6" x14ac:dyDescent="0.2">
      <c r="A133" s="2">
        <v>109</v>
      </c>
      <c r="B133" s="2">
        <v>14952.552958784534</v>
      </c>
      <c r="C133" s="2">
        <v>-13136.552958784534</v>
      </c>
      <c r="E133" s="2">
        <v>19.375</v>
      </c>
      <c r="F133" s="2">
        <v>27079</v>
      </c>
    </row>
    <row r="134" spans="1:6" x14ac:dyDescent="0.2">
      <c r="A134" s="2">
        <v>110</v>
      </c>
      <c r="B134" s="2">
        <v>236950.49828746123</v>
      </c>
      <c r="C134" s="2">
        <v>161488.50171253877</v>
      </c>
      <c r="E134" s="2">
        <v>19.553571428571431</v>
      </c>
      <c r="F134" s="2">
        <v>27521</v>
      </c>
    </row>
    <row r="135" spans="1:6" x14ac:dyDescent="0.2">
      <c r="A135" s="2">
        <v>111</v>
      </c>
      <c r="B135" s="2">
        <v>340989.13933258364</v>
      </c>
      <c r="C135" s="2">
        <v>344848.86066741636</v>
      </c>
      <c r="E135" s="2">
        <v>19.732142857142858</v>
      </c>
      <c r="F135" s="2">
        <v>28413</v>
      </c>
    </row>
    <row r="136" spans="1:6" x14ac:dyDescent="0.2">
      <c r="A136" s="2">
        <v>112</v>
      </c>
      <c r="B136" s="2">
        <v>104704.19752235844</v>
      </c>
      <c r="C136" s="2">
        <v>-27346.197522358445</v>
      </c>
      <c r="E136" s="2">
        <v>19.910714285714288</v>
      </c>
      <c r="F136" s="2">
        <v>28668</v>
      </c>
    </row>
    <row r="137" spans="1:6" x14ac:dyDescent="0.2">
      <c r="A137" s="2">
        <v>113</v>
      </c>
      <c r="B137" s="2">
        <v>14219.886472551278</v>
      </c>
      <c r="C137" s="2">
        <v>-13935.886472551278</v>
      </c>
      <c r="E137" s="2">
        <v>20.089285714285715</v>
      </c>
      <c r="F137" s="2">
        <v>28896</v>
      </c>
    </row>
    <row r="138" spans="1:6" x14ac:dyDescent="0.2">
      <c r="A138" s="2">
        <v>114</v>
      </c>
      <c r="B138" s="2">
        <v>347949.47095179959</v>
      </c>
      <c r="C138" s="2">
        <v>241176.52904820041</v>
      </c>
      <c r="E138" s="2">
        <v>20.267857142857146</v>
      </c>
      <c r="F138" s="2">
        <v>29578</v>
      </c>
    </row>
    <row r="139" spans="1:6" x14ac:dyDescent="0.2">
      <c r="A139" s="2">
        <v>115</v>
      </c>
      <c r="B139" s="2">
        <v>15251851.133908702</v>
      </c>
      <c r="C139" s="2">
        <v>-10895811.133908702</v>
      </c>
      <c r="E139" s="2">
        <v>20.446428571428573</v>
      </c>
      <c r="F139" s="2">
        <v>29885</v>
      </c>
    </row>
    <row r="140" spans="1:6" x14ac:dyDescent="0.2">
      <c r="A140" s="2">
        <v>116</v>
      </c>
      <c r="B140" s="2">
        <v>117525.86103144044</v>
      </c>
      <c r="C140" s="2">
        <v>-24309.861031440436</v>
      </c>
      <c r="E140" s="2">
        <v>20.625</v>
      </c>
      <c r="F140" s="2">
        <v>30186</v>
      </c>
    </row>
    <row r="141" spans="1:6" x14ac:dyDescent="0.2">
      <c r="A141" s="2">
        <v>117</v>
      </c>
      <c r="B141" s="2">
        <v>51219.544027330732</v>
      </c>
      <c r="C141" s="2">
        <v>52297.455972669268</v>
      </c>
      <c r="E141" s="2">
        <v>20.803571428571431</v>
      </c>
      <c r="F141" s="2">
        <v>30289</v>
      </c>
    </row>
    <row r="142" spans="1:6" x14ac:dyDescent="0.2">
      <c r="A142" s="2">
        <v>118</v>
      </c>
      <c r="B142" s="2">
        <v>194455.84208593238</v>
      </c>
      <c r="C142" s="2">
        <v>-10020.842085932381</v>
      </c>
      <c r="E142" s="2">
        <v>20.982142857142858</v>
      </c>
      <c r="F142" s="2">
        <v>30507</v>
      </c>
    </row>
    <row r="143" spans="1:6" x14ac:dyDescent="0.2">
      <c r="A143" s="2">
        <v>119</v>
      </c>
      <c r="B143" s="2">
        <v>21912.88457800047</v>
      </c>
      <c r="C143" s="2">
        <v>-15176.88457800047</v>
      </c>
      <c r="E143" s="2">
        <v>21.160714285714288</v>
      </c>
      <c r="F143" s="2">
        <v>31717</v>
      </c>
    </row>
    <row r="144" spans="1:6" x14ac:dyDescent="0.2">
      <c r="A144" s="2">
        <v>120</v>
      </c>
      <c r="B144" s="2">
        <v>49021.544568630961</v>
      </c>
      <c r="C144" s="2">
        <v>21737.455431369039</v>
      </c>
      <c r="E144" s="2">
        <v>21.339285714285715</v>
      </c>
      <c r="F144" s="2">
        <v>32417</v>
      </c>
    </row>
    <row r="145" spans="1:6" x14ac:dyDescent="0.2">
      <c r="A145" s="2">
        <v>121</v>
      </c>
      <c r="B145" s="2">
        <v>49387.877811747589</v>
      </c>
      <c r="C145" s="2">
        <v>25800.122188252411</v>
      </c>
      <c r="E145" s="2">
        <v>21.517857142857146</v>
      </c>
      <c r="F145" s="2">
        <v>34071</v>
      </c>
    </row>
    <row r="146" spans="1:6" x14ac:dyDescent="0.2">
      <c r="A146" s="2">
        <v>122</v>
      </c>
      <c r="B146" s="2">
        <v>1255356.9141516876</v>
      </c>
      <c r="C146" s="2">
        <v>1053264.0858483124</v>
      </c>
      <c r="E146" s="2">
        <v>21.696428571428573</v>
      </c>
      <c r="F146" s="2">
        <v>34537</v>
      </c>
    </row>
    <row r="147" spans="1:6" x14ac:dyDescent="0.2">
      <c r="A147" s="2">
        <v>123</v>
      </c>
      <c r="B147" s="2">
        <v>10590626.948492724</v>
      </c>
      <c r="C147" s="2">
        <v>-7622891.9484927244</v>
      </c>
      <c r="E147" s="2">
        <v>21.875</v>
      </c>
      <c r="F147" s="2">
        <v>36442</v>
      </c>
    </row>
    <row r="148" spans="1:6" x14ac:dyDescent="0.2">
      <c r="A148" s="2">
        <v>124</v>
      </c>
      <c r="B148" s="2">
        <v>149396.8531825871</v>
      </c>
      <c r="C148" s="2">
        <v>71932.146817412897</v>
      </c>
      <c r="E148" s="2">
        <v>22.053571428571431</v>
      </c>
      <c r="F148" s="2">
        <v>37242</v>
      </c>
    </row>
    <row r="149" spans="1:6" x14ac:dyDescent="0.2">
      <c r="A149" s="2">
        <v>125</v>
      </c>
      <c r="B149" s="2">
        <v>13853.553229434649</v>
      </c>
      <c r="C149" s="2">
        <v>-13852.553229434649</v>
      </c>
      <c r="E149" s="2">
        <v>22.232142857142858</v>
      </c>
      <c r="F149" s="2">
        <v>37645</v>
      </c>
    </row>
    <row r="150" spans="1:6" x14ac:dyDescent="0.2">
      <c r="A150" s="2">
        <v>126</v>
      </c>
      <c r="B150" s="2">
        <v>31437.548899032805</v>
      </c>
      <c r="C150" s="2">
        <v>-1859.5488990328049</v>
      </c>
      <c r="E150" s="2">
        <v>22.410714285714288</v>
      </c>
      <c r="F150" s="2">
        <v>37706</v>
      </c>
    </row>
    <row r="151" spans="1:6" x14ac:dyDescent="0.2">
      <c r="A151" s="2">
        <v>127</v>
      </c>
      <c r="B151" s="2">
        <v>37665.214032015487</v>
      </c>
      <c r="C151" s="2">
        <v>29274.785967984513</v>
      </c>
      <c r="E151" s="2">
        <v>22.589285714285715</v>
      </c>
      <c r="F151" s="2">
        <v>38957</v>
      </c>
    </row>
    <row r="152" spans="1:6" x14ac:dyDescent="0.2">
      <c r="A152" s="2">
        <v>128</v>
      </c>
      <c r="B152" s="2">
        <v>85654.868880293783</v>
      </c>
      <c r="C152" s="2">
        <v>22697.131119706217</v>
      </c>
      <c r="E152" s="2">
        <v>22.767857142857146</v>
      </c>
      <c r="F152" s="2">
        <v>39060</v>
      </c>
    </row>
    <row r="153" spans="1:6" x14ac:dyDescent="0.2">
      <c r="A153" s="2">
        <v>129</v>
      </c>
      <c r="B153" s="2">
        <v>69902.539426278759</v>
      </c>
      <c r="C153" s="2">
        <v>-2604.5394262787595</v>
      </c>
      <c r="E153" s="2">
        <v>22.946428571428573</v>
      </c>
      <c r="F153" s="2">
        <v>39278</v>
      </c>
    </row>
    <row r="154" spans="1:6" x14ac:dyDescent="0.2">
      <c r="A154" s="2">
        <v>130</v>
      </c>
      <c r="B154" s="2">
        <v>157089.8512880363</v>
      </c>
      <c r="C154" s="2">
        <v>48478.148711963702</v>
      </c>
      <c r="E154" s="2">
        <v>23.125</v>
      </c>
      <c r="F154" s="2">
        <v>39443</v>
      </c>
    </row>
    <row r="155" spans="1:6" x14ac:dyDescent="0.2">
      <c r="A155" s="2">
        <v>131</v>
      </c>
      <c r="B155" s="2">
        <v>70268.872669395394</v>
      </c>
      <c r="C155" s="2">
        <v>-42747.872669395394</v>
      </c>
      <c r="E155" s="2">
        <v>23.303571428571431</v>
      </c>
      <c r="F155" s="2">
        <v>39576</v>
      </c>
    </row>
    <row r="156" spans="1:6" x14ac:dyDescent="0.2">
      <c r="A156" s="2">
        <v>132</v>
      </c>
      <c r="B156" s="2">
        <v>483492.77090495208</v>
      </c>
      <c r="C156" s="2">
        <v>702158.22909504792</v>
      </c>
      <c r="E156" s="2">
        <v>23.482142857142858</v>
      </c>
      <c r="F156" s="2">
        <v>39711</v>
      </c>
    </row>
    <row r="157" spans="1:6" x14ac:dyDescent="0.2">
      <c r="A157" s="2">
        <v>133</v>
      </c>
      <c r="B157" s="2">
        <v>83090.536178477385</v>
      </c>
      <c r="C157" s="2">
        <v>81989.463821522615</v>
      </c>
      <c r="E157" s="2">
        <v>23.660714285714288</v>
      </c>
      <c r="F157" s="2">
        <v>41151</v>
      </c>
    </row>
    <row r="158" spans="1:6" x14ac:dyDescent="0.2">
      <c r="A158" s="2">
        <v>134</v>
      </c>
      <c r="B158" s="2">
        <v>14219.886472551278</v>
      </c>
      <c r="C158" s="2">
        <v>-13887.886472551278</v>
      </c>
      <c r="E158" s="2">
        <v>23.839285714285715</v>
      </c>
      <c r="F158" s="2">
        <v>41537</v>
      </c>
    </row>
    <row r="159" spans="1:6" x14ac:dyDescent="0.2">
      <c r="A159" s="2">
        <v>135</v>
      </c>
      <c r="B159" s="2">
        <v>87120.201852760292</v>
      </c>
      <c r="C159" s="2">
        <v>-6461.2018527602922</v>
      </c>
      <c r="E159" s="2">
        <v>24.017857142857146</v>
      </c>
      <c r="F159" s="2">
        <v>41546</v>
      </c>
    </row>
    <row r="160" spans="1:6" x14ac:dyDescent="0.2">
      <c r="A160" s="2">
        <v>136</v>
      </c>
      <c r="B160" s="2">
        <v>5945521.4257738786</v>
      </c>
      <c r="C160" s="2">
        <v>-4264380.4257738786</v>
      </c>
      <c r="E160" s="2">
        <v>24.196428571428573</v>
      </c>
      <c r="F160" s="2">
        <v>41551</v>
      </c>
    </row>
    <row r="161" spans="1:6" x14ac:dyDescent="0.2">
      <c r="A161" s="2">
        <v>137</v>
      </c>
      <c r="B161" s="2">
        <v>356008.80230036541</v>
      </c>
      <c r="C161" s="2">
        <v>109840.19769963459</v>
      </c>
      <c r="E161" s="2">
        <v>24.375</v>
      </c>
      <c r="F161" s="2">
        <v>41834</v>
      </c>
    </row>
    <row r="162" spans="1:6" x14ac:dyDescent="0.2">
      <c r="A162" s="2">
        <v>138</v>
      </c>
      <c r="B162" s="2">
        <v>2677828.8971735556</v>
      </c>
      <c r="C162" s="2">
        <v>4218745.1028264444</v>
      </c>
      <c r="E162" s="2">
        <v>24.553571428571431</v>
      </c>
      <c r="F162" s="2">
        <v>42215</v>
      </c>
    </row>
    <row r="163" spans="1:6" x14ac:dyDescent="0.2">
      <c r="A163" s="2">
        <v>139</v>
      </c>
      <c r="B163" s="2">
        <v>1023834.3045019787</v>
      </c>
      <c r="C163" s="2">
        <v>1252488.6954980213</v>
      </c>
      <c r="E163" s="2">
        <v>24.732142857142858</v>
      </c>
      <c r="F163" s="2">
        <v>43551</v>
      </c>
    </row>
    <row r="164" spans="1:6" x14ac:dyDescent="0.2">
      <c r="A164" s="2">
        <v>140</v>
      </c>
      <c r="B164" s="2">
        <v>89318.20131146007</v>
      </c>
      <c r="C164" s="2">
        <v>998.79868853992957</v>
      </c>
      <c r="E164" s="2">
        <v>24.910714285714288</v>
      </c>
      <c r="F164" s="2">
        <v>43702</v>
      </c>
    </row>
    <row r="165" spans="1:6" x14ac:dyDescent="0.2">
      <c r="A165" s="2">
        <v>141</v>
      </c>
      <c r="B165" s="2">
        <v>141703.85507713791</v>
      </c>
      <c r="C165" s="2">
        <v>35593.144922862091</v>
      </c>
      <c r="E165" s="2">
        <v>25.089285714285715</v>
      </c>
      <c r="F165" s="2">
        <v>44534</v>
      </c>
    </row>
    <row r="166" spans="1:6" x14ac:dyDescent="0.2">
      <c r="A166" s="2">
        <v>142</v>
      </c>
      <c r="B166" s="2">
        <v>405830.12336422689</v>
      </c>
      <c r="C166" s="2">
        <v>102686.87663577311</v>
      </c>
      <c r="E166" s="2">
        <v>25.267857142857146</v>
      </c>
      <c r="F166" s="2">
        <v>46029</v>
      </c>
    </row>
    <row r="167" spans="1:6" x14ac:dyDescent="0.2">
      <c r="A167" s="2">
        <v>143</v>
      </c>
      <c r="B167" s="2">
        <v>59645.208619013181</v>
      </c>
      <c r="C167" s="2">
        <v>7498.7913809868187</v>
      </c>
      <c r="E167" s="2">
        <v>25.446428571428573</v>
      </c>
      <c r="F167" s="2">
        <v>46180</v>
      </c>
    </row>
    <row r="168" spans="1:6" x14ac:dyDescent="0.2">
      <c r="A168" s="2">
        <v>144</v>
      </c>
      <c r="B168" s="2">
        <v>171010.51452646815</v>
      </c>
      <c r="C168" s="2">
        <v>-5026.5145264681487</v>
      </c>
      <c r="E168" s="2">
        <v>25.625</v>
      </c>
      <c r="F168" s="2">
        <v>46339</v>
      </c>
    </row>
    <row r="169" spans="1:6" x14ac:dyDescent="0.2">
      <c r="A169" s="2">
        <v>145</v>
      </c>
      <c r="B169" s="2">
        <v>73932.205100561681</v>
      </c>
      <c r="C169" s="2">
        <v>22476.794899438319</v>
      </c>
      <c r="E169" s="2">
        <v>25.803571428571431</v>
      </c>
      <c r="F169" s="2">
        <v>47747</v>
      </c>
    </row>
    <row r="170" spans="1:6" x14ac:dyDescent="0.2">
      <c r="A170" s="2">
        <v>146</v>
      </c>
      <c r="B170" s="2">
        <v>40962.213220065139</v>
      </c>
      <c r="C170" s="2">
        <v>-19663.213220065139</v>
      </c>
      <c r="E170" s="2">
        <v>25.982142857142858</v>
      </c>
      <c r="F170" s="2">
        <v>47792</v>
      </c>
    </row>
    <row r="171" spans="1:6" x14ac:dyDescent="0.2">
      <c r="A171" s="2">
        <v>147</v>
      </c>
      <c r="B171" s="2">
        <v>329632.80879596819</v>
      </c>
      <c r="C171" s="2">
        <v>223274.19120403181</v>
      </c>
      <c r="E171" s="2">
        <v>26.160714285714288</v>
      </c>
      <c r="F171" s="2">
        <v>47934</v>
      </c>
    </row>
    <row r="172" spans="1:6" x14ac:dyDescent="0.2">
      <c r="A172" s="2">
        <v>148</v>
      </c>
      <c r="B172" s="2">
        <v>7066134.8164676446</v>
      </c>
      <c r="C172" s="2">
        <v>-5090080.8164676446</v>
      </c>
      <c r="E172" s="2">
        <v>26.339285714285715</v>
      </c>
      <c r="F172" s="2">
        <v>48012</v>
      </c>
    </row>
    <row r="173" spans="1:6" x14ac:dyDescent="0.2">
      <c r="A173" s="2">
        <v>149</v>
      </c>
      <c r="B173" s="2">
        <v>32536.54862838269</v>
      </c>
      <c r="C173" s="2">
        <v>-27671.54862838269</v>
      </c>
      <c r="E173" s="2">
        <v>26.517857142857146</v>
      </c>
      <c r="F173" s="2">
        <v>48361</v>
      </c>
    </row>
    <row r="174" spans="1:6" x14ac:dyDescent="0.2">
      <c r="A174" s="2">
        <v>150</v>
      </c>
      <c r="B174" s="2">
        <v>37665.214032015487</v>
      </c>
      <c r="C174" s="2">
        <v>-31057.214032015487</v>
      </c>
      <c r="E174" s="2">
        <v>26.696428571428573</v>
      </c>
      <c r="F174" s="2">
        <v>48546</v>
      </c>
    </row>
    <row r="175" spans="1:6" x14ac:dyDescent="0.2">
      <c r="A175" s="2">
        <v>151</v>
      </c>
      <c r="B175" s="2">
        <v>203614.17316384809</v>
      </c>
      <c r="C175" s="2">
        <v>-71311.173163848085</v>
      </c>
      <c r="E175" s="2">
        <v>26.875</v>
      </c>
      <c r="F175" s="2">
        <v>48647</v>
      </c>
    </row>
    <row r="176" spans="1:6" x14ac:dyDescent="0.2">
      <c r="A176" s="2">
        <v>152</v>
      </c>
      <c r="B176" s="2">
        <v>16417.885931251047</v>
      </c>
      <c r="C176" s="2">
        <v>-14348.885931251047</v>
      </c>
      <c r="E176" s="2">
        <v>27.053571428571431</v>
      </c>
      <c r="F176" s="2">
        <v>48935</v>
      </c>
    </row>
    <row r="177" spans="1:6" x14ac:dyDescent="0.2">
      <c r="A177" s="2">
        <v>153</v>
      </c>
      <c r="B177" s="2">
        <v>998557.31072693132</v>
      </c>
      <c r="C177" s="2">
        <v>1353184.6892730687</v>
      </c>
      <c r="E177" s="2">
        <v>27.232142857142858</v>
      </c>
      <c r="F177" s="2">
        <v>49631</v>
      </c>
    </row>
    <row r="178" spans="1:6" x14ac:dyDescent="0.2">
      <c r="A178" s="2">
        <v>154</v>
      </c>
      <c r="B178" s="2">
        <v>3856322.9402797483</v>
      </c>
      <c r="C178" s="2">
        <v>1240709.0597202517</v>
      </c>
      <c r="E178" s="2">
        <v>27.410714285714288</v>
      </c>
      <c r="F178" s="2">
        <v>49759</v>
      </c>
    </row>
    <row r="179" spans="1:6" x14ac:dyDescent="0.2">
      <c r="A179" s="2">
        <v>155</v>
      </c>
      <c r="B179" s="2">
        <v>108001.19671040811</v>
      </c>
      <c r="C179" s="2">
        <v>22514.803289591888</v>
      </c>
      <c r="E179" s="2">
        <v>27.589285714285715</v>
      </c>
      <c r="F179" s="2">
        <v>50202</v>
      </c>
    </row>
    <row r="180" spans="1:6" x14ac:dyDescent="0.2">
      <c r="A180" s="2">
        <v>156</v>
      </c>
      <c r="B180" s="2">
        <v>52318.543756680614</v>
      </c>
      <c r="C180" s="2">
        <v>1291.456243319386</v>
      </c>
      <c r="E180" s="2">
        <v>27.767857142857146</v>
      </c>
      <c r="F180" s="2">
        <v>50827</v>
      </c>
    </row>
    <row r="181" spans="1:6" x14ac:dyDescent="0.2">
      <c r="A181" s="2">
        <v>157</v>
      </c>
      <c r="B181" s="2">
        <v>319741.81123181921</v>
      </c>
      <c r="C181" s="2">
        <v>457188.18876818079</v>
      </c>
      <c r="E181" s="2">
        <v>27.946428571428573</v>
      </c>
      <c r="F181" s="2">
        <v>51171</v>
      </c>
    </row>
    <row r="182" spans="1:6" x14ac:dyDescent="0.2">
      <c r="A182" s="2">
        <v>158</v>
      </c>
      <c r="B182" s="2">
        <v>13853.553229434649</v>
      </c>
      <c r="C182" s="2">
        <v>-13842.553229434649</v>
      </c>
      <c r="E182" s="2">
        <v>28.125</v>
      </c>
      <c r="F182" s="2">
        <v>51465</v>
      </c>
    </row>
    <row r="183" spans="1:6" x14ac:dyDescent="0.2">
      <c r="A183" s="2">
        <v>159</v>
      </c>
      <c r="B183" s="2">
        <v>194455.84208593238</v>
      </c>
      <c r="C183" s="2">
        <v>32996.157914067619</v>
      </c>
      <c r="E183" s="2">
        <v>28.303571428571431</v>
      </c>
      <c r="F183" s="2">
        <v>52370</v>
      </c>
    </row>
    <row r="184" spans="1:6" x14ac:dyDescent="0.2">
      <c r="A184" s="2">
        <v>160</v>
      </c>
      <c r="B184" s="2">
        <v>42427.546192531649</v>
      </c>
      <c r="C184" s="2">
        <v>3911.4538074683514</v>
      </c>
      <c r="E184" s="2">
        <v>28.482142857142858</v>
      </c>
      <c r="F184" s="2">
        <v>52390</v>
      </c>
    </row>
    <row r="185" spans="1:6" x14ac:dyDescent="0.2">
      <c r="A185" s="2">
        <v>161</v>
      </c>
      <c r="B185" s="2">
        <v>5215419.272242439</v>
      </c>
      <c r="C185" s="2">
        <v>1413275.727757561</v>
      </c>
      <c r="E185" s="2">
        <v>28.660714285714288</v>
      </c>
      <c r="F185" s="2">
        <v>53610</v>
      </c>
    </row>
    <row r="186" spans="1:6" x14ac:dyDescent="0.2">
      <c r="A186" s="2">
        <v>162</v>
      </c>
      <c r="B186" s="2">
        <v>2998736.8181437217</v>
      </c>
      <c r="C186" s="2">
        <v>395663.18185627833</v>
      </c>
      <c r="E186" s="2">
        <v>28.839285714285715</v>
      </c>
      <c r="F186" s="2">
        <v>53960</v>
      </c>
    </row>
    <row r="187" spans="1:6" x14ac:dyDescent="0.2">
      <c r="A187" s="2">
        <v>163</v>
      </c>
      <c r="B187" s="2">
        <v>53417.543486030496</v>
      </c>
      <c r="C187" s="2">
        <v>872.45651396950416</v>
      </c>
      <c r="E187" s="2">
        <v>29.017857142857146</v>
      </c>
      <c r="F187" s="2">
        <v>54290</v>
      </c>
    </row>
    <row r="188" spans="1:6" x14ac:dyDescent="0.2">
      <c r="A188" s="2">
        <v>164</v>
      </c>
      <c r="B188" s="2">
        <v>199218.17424644853</v>
      </c>
      <c r="C188" s="2">
        <v>10553.825753551471</v>
      </c>
      <c r="E188" s="2">
        <v>29.196428571428573</v>
      </c>
      <c r="F188" s="2">
        <v>54483</v>
      </c>
    </row>
    <row r="189" spans="1:6" x14ac:dyDescent="0.2">
      <c r="A189" s="2">
        <v>165</v>
      </c>
      <c r="B189" s="2">
        <v>3870609.9367612964</v>
      </c>
      <c r="C189" s="2">
        <v>1245321.0632387036</v>
      </c>
      <c r="E189" s="2">
        <v>29.375</v>
      </c>
      <c r="F189" s="2">
        <v>54706</v>
      </c>
    </row>
    <row r="190" spans="1:6" x14ac:dyDescent="0.2">
      <c r="A190" s="2">
        <v>166</v>
      </c>
      <c r="B190" s="2">
        <v>69536.206183162139</v>
      </c>
      <c r="C190" s="2">
        <v>-29960.206183162139</v>
      </c>
      <c r="E190" s="2">
        <v>29.553571428571431</v>
      </c>
      <c r="F190" s="2">
        <v>54778</v>
      </c>
    </row>
    <row r="191" spans="1:6" x14ac:dyDescent="0.2">
      <c r="A191" s="2">
        <v>167</v>
      </c>
      <c r="B191" s="2">
        <v>58546.208889663292</v>
      </c>
      <c r="C191" s="2">
        <v>17333.791110336708</v>
      </c>
      <c r="E191" s="2">
        <v>29.732142857142858</v>
      </c>
      <c r="F191" s="2">
        <v>54874</v>
      </c>
    </row>
    <row r="192" spans="1:6" x14ac:dyDescent="0.2">
      <c r="A192" s="2">
        <v>168</v>
      </c>
      <c r="B192" s="2">
        <v>18615.885389950818</v>
      </c>
      <c r="C192" s="2">
        <v>-15150.885389950818</v>
      </c>
      <c r="E192" s="2">
        <v>29.910714285714288</v>
      </c>
      <c r="F192" s="2">
        <v>55170</v>
      </c>
    </row>
    <row r="193" spans="1:6" x14ac:dyDescent="0.2">
      <c r="A193" s="2">
        <v>169</v>
      </c>
      <c r="B193" s="2">
        <v>42427.546192531649</v>
      </c>
      <c r="C193" s="2">
        <v>1274.4538074683514</v>
      </c>
      <c r="E193" s="2">
        <v>30.089285714285715</v>
      </c>
      <c r="F193" s="2">
        <v>55751</v>
      </c>
    </row>
    <row r="194" spans="1:6" x14ac:dyDescent="0.2">
      <c r="A194" s="2">
        <v>170</v>
      </c>
      <c r="B194" s="2">
        <v>4191884.1909745801</v>
      </c>
      <c r="C194" s="2">
        <v>-3016901.1909745801</v>
      </c>
      <c r="E194" s="2">
        <v>30.267857142857146</v>
      </c>
      <c r="F194" s="2">
        <v>55793</v>
      </c>
    </row>
    <row r="195" spans="1:6" x14ac:dyDescent="0.2">
      <c r="A195" s="2">
        <v>171</v>
      </c>
      <c r="B195" s="2">
        <v>118991.19400390696</v>
      </c>
      <c r="C195" s="2">
        <v>24526.80599609304</v>
      </c>
      <c r="E195" s="2">
        <v>30.446428571428573</v>
      </c>
      <c r="F195" s="2">
        <v>56298</v>
      </c>
    </row>
    <row r="196" spans="1:6" x14ac:dyDescent="0.2">
      <c r="A196" s="2">
        <v>172</v>
      </c>
      <c r="B196" s="2">
        <v>694867.05218324659</v>
      </c>
      <c r="C196" s="2">
        <v>882203.94781675341</v>
      </c>
      <c r="E196" s="2">
        <v>30.625</v>
      </c>
      <c r="F196" s="2">
        <v>56539</v>
      </c>
    </row>
    <row r="197" spans="1:6" x14ac:dyDescent="0.2">
      <c r="A197" s="2">
        <v>173</v>
      </c>
      <c r="B197" s="2">
        <v>67338.206724462361</v>
      </c>
      <c r="C197" s="2">
        <v>2262.7932755376387</v>
      </c>
      <c r="E197" s="2">
        <v>30.803571428571431</v>
      </c>
      <c r="F197" s="2">
        <v>58515</v>
      </c>
    </row>
    <row r="198" spans="1:6" x14ac:dyDescent="0.2">
      <c r="A198" s="2">
        <v>174</v>
      </c>
      <c r="B198" s="2">
        <v>70635.205912512029</v>
      </c>
      <c r="C198" s="2">
        <v>-54708.205912512029</v>
      </c>
      <c r="E198" s="2">
        <v>30.982142857142858</v>
      </c>
      <c r="F198" s="2">
        <v>59052</v>
      </c>
    </row>
    <row r="199" spans="1:6" x14ac:dyDescent="0.2">
      <c r="A199" s="2">
        <v>175</v>
      </c>
      <c r="B199" s="2">
        <v>2274862.3297452638</v>
      </c>
      <c r="C199" s="2">
        <v>-1627891.3297452638</v>
      </c>
      <c r="E199" s="2">
        <v>31.160714285714288</v>
      </c>
      <c r="F199" s="2">
        <v>59456</v>
      </c>
    </row>
    <row r="200" spans="1:6" x14ac:dyDescent="0.2">
      <c r="A200" s="2">
        <v>176</v>
      </c>
      <c r="B200" s="2">
        <v>4124112.5409980034</v>
      </c>
      <c r="C200" s="2">
        <v>-2969209.5409980034</v>
      </c>
      <c r="E200" s="2">
        <v>31.339285714285715</v>
      </c>
      <c r="F200" s="2">
        <v>59492</v>
      </c>
    </row>
    <row r="201" spans="1:6" x14ac:dyDescent="0.2">
      <c r="A201" s="2">
        <v>177</v>
      </c>
      <c r="B201" s="2">
        <v>197020.17478774878</v>
      </c>
      <c r="C201" s="2">
        <v>123675.82521225122</v>
      </c>
      <c r="E201" s="2">
        <v>31.517857142857146</v>
      </c>
      <c r="F201" s="2">
        <v>59502</v>
      </c>
    </row>
    <row r="202" spans="1:6" x14ac:dyDescent="0.2">
      <c r="A202" s="2">
        <v>178</v>
      </c>
      <c r="B202" s="2">
        <v>73199.538614328427</v>
      </c>
      <c r="C202" s="2">
        <v>-35493.538614328427</v>
      </c>
      <c r="E202" s="2">
        <v>31.696428571428573</v>
      </c>
      <c r="F202" s="2">
        <v>59551</v>
      </c>
    </row>
    <row r="203" spans="1:6" x14ac:dyDescent="0.2">
      <c r="A203" s="2">
        <v>179</v>
      </c>
      <c r="B203" s="2">
        <v>492651.10198286775</v>
      </c>
      <c r="C203" s="2">
        <v>70523.898017132247</v>
      </c>
      <c r="E203" s="2">
        <v>31.875</v>
      </c>
      <c r="F203" s="2">
        <v>59602</v>
      </c>
    </row>
    <row r="204" spans="1:6" x14ac:dyDescent="0.2">
      <c r="A204" s="2">
        <v>180</v>
      </c>
      <c r="B204" s="2">
        <v>252702.82774147627</v>
      </c>
      <c r="C204" s="2">
        <v>326071.17225852376</v>
      </c>
      <c r="E204" s="2">
        <v>32.053571428571431</v>
      </c>
      <c r="F204" s="2">
        <v>59622</v>
      </c>
    </row>
    <row r="205" spans="1:6" x14ac:dyDescent="0.2">
      <c r="A205" s="2">
        <v>181</v>
      </c>
      <c r="B205" s="2">
        <v>14586.219715667905</v>
      </c>
      <c r="C205" s="2">
        <v>5139.7802843320951</v>
      </c>
      <c r="E205" s="2">
        <v>32.232142857142861</v>
      </c>
      <c r="F205" s="2">
        <v>61692</v>
      </c>
    </row>
    <row r="206" spans="1:6" x14ac:dyDescent="0.2">
      <c r="A206" s="2">
        <v>182</v>
      </c>
      <c r="B206" s="2">
        <v>66971.873481345741</v>
      </c>
      <c r="C206" s="2">
        <v>2200.1265186542587</v>
      </c>
      <c r="E206" s="2">
        <v>32.410714285714285</v>
      </c>
      <c r="F206" s="2">
        <v>63097</v>
      </c>
    </row>
    <row r="207" spans="1:6" x14ac:dyDescent="0.2">
      <c r="A207" s="2">
        <v>183</v>
      </c>
      <c r="B207" s="2">
        <v>73932.205100561681</v>
      </c>
      <c r="C207" s="2">
        <v>41061.794899438319</v>
      </c>
      <c r="E207" s="2">
        <v>32.589285714285715</v>
      </c>
      <c r="F207" s="2">
        <v>63338</v>
      </c>
    </row>
    <row r="208" spans="1:6" x14ac:dyDescent="0.2">
      <c r="A208" s="2">
        <v>184</v>
      </c>
      <c r="B208" s="2">
        <v>15685.21944501779</v>
      </c>
      <c r="C208" s="2">
        <v>-13147.21944501779</v>
      </c>
      <c r="E208" s="2">
        <v>32.767857142857146</v>
      </c>
      <c r="F208" s="2">
        <v>64790</v>
      </c>
    </row>
    <row r="209" spans="1:6" x14ac:dyDescent="0.2">
      <c r="A209" s="2">
        <v>185</v>
      </c>
      <c r="B209" s="2">
        <v>4647969.0786547819</v>
      </c>
      <c r="C209" s="2">
        <v>1253701.9213452181</v>
      </c>
      <c r="E209" s="2">
        <v>32.946428571428577</v>
      </c>
      <c r="F209" s="2">
        <v>64825</v>
      </c>
    </row>
    <row r="210" spans="1:6" x14ac:dyDescent="0.2">
      <c r="A210" s="2">
        <v>186</v>
      </c>
      <c r="B210" s="2">
        <v>117892.19427455707</v>
      </c>
      <c r="C210" s="2">
        <v>4101.8057254429295</v>
      </c>
      <c r="E210" s="2">
        <v>33.125</v>
      </c>
      <c r="F210" s="2">
        <v>66940</v>
      </c>
    </row>
    <row r="211" spans="1:6" x14ac:dyDescent="0.2">
      <c r="A211" s="2">
        <v>187</v>
      </c>
      <c r="B211" s="2">
        <v>91149.867527043214</v>
      </c>
      <c r="C211" s="2">
        <v>966.13247295678593</v>
      </c>
      <c r="E211" s="2">
        <v>33.303571428571431</v>
      </c>
      <c r="F211" s="2">
        <v>66953</v>
      </c>
    </row>
    <row r="212" spans="1:6" x14ac:dyDescent="0.2">
      <c r="A212" s="2">
        <v>188</v>
      </c>
      <c r="B212" s="2">
        <v>6137480.0451669917</v>
      </c>
      <c r="C212" s="2">
        <v>-4402591.0451669917</v>
      </c>
      <c r="E212" s="2">
        <v>33.482142857142861</v>
      </c>
      <c r="F212" s="2">
        <v>67144</v>
      </c>
    </row>
    <row r="213" spans="1:6" x14ac:dyDescent="0.2">
      <c r="A213" s="2">
        <v>189</v>
      </c>
      <c r="B213" s="2">
        <v>14586.219715667905</v>
      </c>
      <c r="C213" s="2">
        <v>-13950.219715667905</v>
      </c>
      <c r="E213" s="2">
        <v>33.660714285714285</v>
      </c>
      <c r="F213" s="2">
        <v>67298</v>
      </c>
    </row>
    <row r="214" spans="1:6" x14ac:dyDescent="0.2">
      <c r="A214" s="2">
        <v>190</v>
      </c>
      <c r="B214" s="2">
        <v>54516.543215380385</v>
      </c>
      <c r="C214" s="2">
        <v>1234.4567846196151</v>
      </c>
      <c r="E214" s="2">
        <v>33.839285714285715</v>
      </c>
      <c r="F214" s="2">
        <v>67367</v>
      </c>
    </row>
    <row r="215" spans="1:6" x14ac:dyDescent="0.2">
      <c r="A215" s="2">
        <v>191</v>
      </c>
      <c r="B215" s="2">
        <v>55249.209701613639</v>
      </c>
      <c r="C215" s="2">
        <v>33393.790298386361</v>
      </c>
      <c r="E215" s="2">
        <v>34.017857142857146</v>
      </c>
      <c r="F215" s="2">
        <v>67642</v>
      </c>
    </row>
    <row r="216" spans="1:6" x14ac:dyDescent="0.2">
      <c r="A216" s="2">
        <v>192</v>
      </c>
      <c r="B216" s="2">
        <v>14219.886472551278</v>
      </c>
      <c r="C216" s="2">
        <v>-13939.886472551278</v>
      </c>
      <c r="E216" s="2">
        <v>34.196428571428577</v>
      </c>
      <c r="F216" s="2">
        <v>67938</v>
      </c>
    </row>
    <row r="217" spans="1:6" x14ac:dyDescent="0.2">
      <c r="A217" s="2">
        <v>193</v>
      </c>
      <c r="B217" s="2">
        <v>321207.14420428575</v>
      </c>
      <c r="C217" s="2">
        <v>66901.855795714248</v>
      </c>
      <c r="E217" s="2">
        <v>34.375</v>
      </c>
      <c r="F217" s="2">
        <v>68020</v>
      </c>
    </row>
    <row r="218" spans="1:6" x14ac:dyDescent="0.2">
      <c r="A218" s="2">
        <v>194</v>
      </c>
      <c r="B218" s="2">
        <v>2344465.6459374232</v>
      </c>
      <c r="C218" s="2">
        <v>1998029.3540625768</v>
      </c>
      <c r="E218" s="2">
        <v>34.553571428571431</v>
      </c>
      <c r="F218" s="2">
        <v>69172</v>
      </c>
    </row>
    <row r="219" spans="1:6" x14ac:dyDescent="0.2">
      <c r="A219" s="2">
        <v>195</v>
      </c>
      <c r="B219" s="2">
        <v>82724.20293536075</v>
      </c>
      <c r="C219" s="2">
        <v>27298.79706463925</v>
      </c>
      <c r="E219" s="2">
        <v>34.732142857142861</v>
      </c>
      <c r="F219" s="2">
        <v>69601</v>
      </c>
    </row>
    <row r="220" spans="1:6" x14ac:dyDescent="0.2">
      <c r="A220" s="2">
        <v>196</v>
      </c>
      <c r="B220" s="2">
        <v>21180.218091767212</v>
      </c>
      <c r="C220" s="2">
        <v>-10736.218091767212</v>
      </c>
      <c r="E220" s="2">
        <v>34.910714285714285</v>
      </c>
      <c r="F220" s="2">
        <v>69962</v>
      </c>
    </row>
    <row r="221" spans="1:6" x14ac:dyDescent="0.2">
      <c r="A221" s="2">
        <v>197</v>
      </c>
      <c r="B221" s="2">
        <v>94080.533471976232</v>
      </c>
      <c r="C221" s="2">
        <v>59916.466528023768</v>
      </c>
      <c r="E221" s="2">
        <v>35.089285714285715</v>
      </c>
      <c r="F221" s="2">
        <v>70295</v>
      </c>
    </row>
    <row r="222" spans="1:6" x14ac:dyDescent="0.2">
      <c r="A222" s="2">
        <v>198</v>
      </c>
      <c r="B222" s="2">
        <v>313880.47934195318</v>
      </c>
      <c r="C222" s="2">
        <v>431079.52065804682</v>
      </c>
      <c r="E222" s="2">
        <v>35.267857142857146</v>
      </c>
      <c r="F222" s="2">
        <v>70587</v>
      </c>
    </row>
    <row r="223" spans="1:6" x14ac:dyDescent="0.2">
      <c r="A223" s="2">
        <v>199</v>
      </c>
      <c r="B223" s="2">
        <v>85654.868880293783</v>
      </c>
      <c r="C223" s="2">
        <v>114.13111970621685</v>
      </c>
      <c r="E223" s="2">
        <v>35.446428571428577</v>
      </c>
      <c r="F223" s="2">
        <v>70759</v>
      </c>
    </row>
    <row r="224" spans="1:6" x14ac:dyDescent="0.2">
      <c r="A224" s="2">
        <v>200</v>
      </c>
      <c r="B224" s="2">
        <v>556026.75304204447</v>
      </c>
      <c r="C224" s="2">
        <v>858390.24695795553</v>
      </c>
      <c r="E224" s="2">
        <v>35.625</v>
      </c>
      <c r="F224" s="2">
        <v>73151</v>
      </c>
    </row>
    <row r="225" spans="1:6" x14ac:dyDescent="0.2">
      <c r="A225" s="2">
        <v>201</v>
      </c>
      <c r="B225" s="2">
        <v>230356.49991136193</v>
      </c>
      <c r="C225" s="2">
        <v>-12469.499911361927</v>
      </c>
      <c r="E225" s="2">
        <v>35.803571428571431</v>
      </c>
      <c r="F225" s="2">
        <v>73321</v>
      </c>
    </row>
    <row r="226" spans="1:6" x14ac:dyDescent="0.2">
      <c r="A226" s="2">
        <v>202</v>
      </c>
      <c r="B226" s="2">
        <v>22790622.944005799</v>
      </c>
      <c r="C226" s="2">
        <v>-16703270.944005799</v>
      </c>
      <c r="E226" s="2">
        <v>35.982142857142861</v>
      </c>
      <c r="F226" s="2">
        <v>73915</v>
      </c>
    </row>
    <row r="227" spans="1:6" x14ac:dyDescent="0.2">
      <c r="A227" s="2">
        <v>203</v>
      </c>
      <c r="B227" s="2">
        <v>46823.54510993119</v>
      </c>
      <c r="C227" s="2">
        <v>-5672.5451099311904</v>
      </c>
      <c r="E227" s="2">
        <v>36.160714285714285</v>
      </c>
      <c r="F227" s="2">
        <v>75188</v>
      </c>
    </row>
    <row r="228" spans="1:6" x14ac:dyDescent="0.2">
      <c r="A228" s="2">
        <v>204</v>
      </c>
      <c r="B228" s="2">
        <v>87486.535095876927</v>
      </c>
      <c r="C228" s="2">
        <v>58969.464904123073</v>
      </c>
      <c r="E228" s="2">
        <v>36.339285714285715</v>
      </c>
      <c r="F228" s="2">
        <v>75880</v>
      </c>
    </row>
    <row r="229" spans="1:6" x14ac:dyDescent="0.2">
      <c r="A229" s="2">
        <v>205</v>
      </c>
      <c r="B229" s="2">
        <v>259296.82611757558</v>
      </c>
      <c r="C229" s="2">
        <v>109709.17388242442</v>
      </c>
      <c r="E229" s="2">
        <v>36.517857142857146</v>
      </c>
      <c r="F229" s="2">
        <v>76037</v>
      </c>
    </row>
    <row r="230" spans="1:6" x14ac:dyDescent="0.2">
      <c r="A230" s="2">
        <v>206</v>
      </c>
      <c r="B230" s="2">
        <v>90417.201040809945</v>
      </c>
      <c r="C230" s="2">
        <v>71989.798959190055</v>
      </c>
      <c r="E230" s="2">
        <v>36.696428571428577</v>
      </c>
      <c r="F230" s="2">
        <v>77358</v>
      </c>
    </row>
    <row r="231" spans="1:6" x14ac:dyDescent="0.2">
      <c r="A231" s="2">
        <v>207</v>
      </c>
      <c r="B231" s="2">
        <v>471770.10712521995</v>
      </c>
      <c r="C231" s="2">
        <v>40712.892874780053</v>
      </c>
      <c r="E231" s="2">
        <v>36.875</v>
      </c>
      <c r="F231" s="2">
        <v>79247</v>
      </c>
    </row>
    <row r="232" spans="1:6" x14ac:dyDescent="0.2">
      <c r="A232" s="2">
        <v>208</v>
      </c>
      <c r="B232" s="2">
        <v>958993.32047033554</v>
      </c>
      <c r="C232" s="2">
        <v>-51199.320470335544</v>
      </c>
      <c r="E232" s="2">
        <v>37.053571428571431</v>
      </c>
      <c r="F232" s="2">
        <v>79632</v>
      </c>
    </row>
    <row r="233" spans="1:6" x14ac:dyDescent="0.2">
      <c r="A233" s="2">
        <v>209</v>
      </c>
      <c r="B233" s="2">
        <v>105436.86400859171</v>
      </c>
      <c r="C233" s="2">
        <v>-3947.8640085917141</v>
      </c>
      <c r="E233" s="2">
        <v>37.232142857142861</v>
      </c>
      <c r="F233" s="2">
        <v>79850</v>
      </c>
    </row>
    <row r="234" spans="1:6" x14ac:dyDescent="0.2">
      <c r="A234" s="2">
        <v>210</v>
      </c>
      <c r="B234" s="2">
        <v>446493.11335017259</v>
      </c>
      <c r="C234" s="2">
        <v>-292979.11335017259</v>
      </c>
      <c r="E234" s="2">
        <v>37.410714285714285</v>
      </c>
      <c r="F234" s="2">
        <v>80659</v>
      </c>
    </row>
    <row r="235" spans="1:6" x14ac:dyDescent="0.2">
      <c r="A235" s="2">
        <v>211</v>
      </c>
      <c r="B235" s="2">
        <v>165881.84912283538</v>
      </c>
      <c r="C235" s="2">
        <v>55245.150877164619</v>
      </c>
      <c r="E235" s="2">
        <v>37.589285714285715</v>
      </c>
      <c r="F235" s="2">
        <v>80743</v>
      </c>
    </row>
    <row r="236" spans="1:6" x14ac:dyDescent="0.2">
      <c r="A236" s="2">
        <v>212</v>
      </c>
      <c r="B236" s="2">
        <v>25576.21700916675</v>
      </c>
      <c r="C236" s="2">
        <v>-5987.2170091667504</v>
      </c>
      <c r="E236" s="2">
        <v>37.767857142857146</v>
      </c>
      <c r="F236" s="2">
        <v>81239</v>
      </c>
    </row>
    <row r="237" spans="1:6" x14ac:dyDescent="0.2">
      <c r="A237" s="2">
        <v>213</v>
      </c>
      <c r="B237" s="2">
        <v>36566.214302665598</v>
      </c>
      <c r="C237" s="2">
        <v>-31641.214302665598</v>
      </c>
      <c r="E237" s="2">
        <v>37.946428571428577</v>
      </c>
      <c r="F237" s="2">
        <v>81457</v>
      </c>
    </row>
    <row r="238" spans="1:6" x14ac:dyDescent="0.2">
      <c r="A238" s="2">
        <v>214</v>
      </c>
      <c r="B238" s="2">
        <v>3483762.0320301373</v>
      </c>
      <c r="C238" s="2">
        <v>1048482.9679698627</v>
      </c>
      <c r="E238" s="2">
        <v>38.125</v>
      </c>
      <c r="F238" s="2">
        <v>81675</v>
      </c>
    </row>
    <row r="239" spans="1:6" x14ac:dyDescent="0.2">
      <c r="A239" s="2">
        <v>215</v>
      </c>
      <c r="B239" s="2">
        <v>1490542.856232563</v>
      </c>
      <c r="C239" s="2">
        <v>1774067.143767437</v>
      </c>
      <c r="E239" s="2">
        <v>38.303571428571431</v>
      </c>
      <c r="F239" s="2">
        <v>81730</v>
      </c>
    </row>
    <row r="240" spans="1:6" x14ac:dyDescent="0.2">
      <c r="A240" s="2">
        <v>216</v>
      </c>
      <c r="B240" s="2">
        <v>772163.36648085515</v>
      </c>
      <c r="C240" s="2">
        <v>184903.63351914485</v>
      </c>
      <c r="E240" s="2">
        <v>38.482142857142861</v>
      </c>
      <c r="F240" s="2">
        <v>82903</v>
      </c>
    </row>
    <row r="241" spans="1:6" x14ac:dyDescent="0.2">
      <c r="A241" s="2">
        <v>217</v>
      </c>
      <c r="B241" s="2">
        <v>5101489.6336331675</v>
      </c>
      <c r="C241" s="2">
        <v>5431690.3663668325</v>
      </c>
      <c r="E241" s="2">
        <v>38.660714285714285</v>
      </c>
      <c r="F241" s="2">
        <v>83409</v>
      </c>
    </row>
    <row r="242" spans="1:6" x14ac:dyDescent="0.2">
      <c r="A242" s="2">
        <v>218</v>
      </c>
      <c r="B242" s="2">
        <v>108001.19671040811</v>
      </c>
      <c r="C242" s="2">
        <v>77663.803289591888</v>
      </c>
      <c r="E242" s="2">
        <v>38.839285714285715</v>
      </c>
      <c r="F242" s="2">
        <v>84803</v>
      </c>
    </row>
    <row r="243" spans="1:6" x14ac:dyDescent="0.2">
      <c r="A243" s="2">
        <v>219</v>
      </c>
      <c r="B243" s="2">
        <v>35833.547816432343</v>
      </c>
      <c r="C243" s="2">
        <v>-20126.547816432343</v>
      </c>
      <c r="E243" s="2">
        <v>39.017857142857146</v>
      </c>
      <c r="F243" s="2">
        <v>85769</v>
      </c>
    </row>
    <row r="244" spans="1:6" x14ac:dyDescent="0.2">
      <c r="A244" s="2">
        <v>220</v>
      </c>
      <c r="B244" s="2">
        <v>68803.539696928885</v>
      </c>
      <c r="C244" s="2">
        <v>-29743.539696928885</v>
      </c>
      <c r="E244" s="2">
        <v>39.196428571428577</v>
      </c>
      <c r="F244" s="2">
        <v>86275</v>
      </c>
    </row>
    <row r="245" spans="1:6" x14ac:dyDescent="0.2">
      <c r="A245" s="2">
        <v>221</v>
      </c>
      <c r="B245" s="2">
        <v>49387.877811747589</v>
      </c>
      <c r="C245" s="2">
        <v>-7850.8778117475886</v>
      </c>
      <c r="E245" s="2">
        <v>39.375</v>
      </c>
      <c r="F245" s="2">
        <v>87263</v>
      </c>
    </row>
    <row r="246" spans="1:6" x14ac:dyDescent="0.2">
      <c r="A246" s="2">
        <v>222</v>
      </c>
      <c r="B246" s="2">
        <v>193356.84235658249</v>
      </c>
      <c r="C246" s="2">
        <v>-11218.842356582492</v>
      </c>
      <c r="E246" s="2">
        <v>39.553571428571431</v>
      </c>
      <c r="F246" s="2">
        <v>87630</v>
      </c>
    </row>
    <row r="247" spans="1:6" x14ac:dyDescent="0.2">
      <c r="A247" s="2">
        <v>223</v>
      </c>
      <c r="B247" s="2">
        <v>5118340.9628165327</v>
      </c>
      <c r="C247" s="2">
        <v>-3670571.9628165327</v>
      </c>
      <c r="E247" s="2">
        <v>39.732142857142861</v>
      </c>
      <c r="F247" s="2">
        <v>87829</v>
      </c>
    </row>
    <row r="248" spans="1:6" x14ac:dyDescent="0.2">
      <c r="A248" s="2">
        <v>224</v>
      </c>
      <c r="B248" s="2">
        <v>22279.217821117098</v>
      </c>
      <c r="C248" s="2">
        <v>-18595.217821117098</v>
      </c>
      <c r="E248" s="2">
        <v>39.910714285714285</v>
      </c>
      <c r="F248" s="2">
        <v>88170</v>
      </c>
    </row>
    <row r="249" spans="1:6" x14ac:dyDescent="0.2">
      <c r="A249" s="2">
        <v>225</v>
      </c>
      <c r="B249" s="2">
        <v>72100.538884978538</v>
      </c>
      <c r="C249" s="2">
        <v>22172.461115021462</v>
      </c>
      <c r="E249" s="2">
        <v>40.089285714285715</v>
      </c>
      <c r="F249" s="2">
        <v>88643</v>
      </c>
    </row>
    <row r="250" spans="1:6" x14ac:dyDescent="0.2">
      <c r="A250" s="2">
        <v>226</v>
      </c>
      <c r="B250" s="2">
        <v>776193.03215513797</v>
      </c>
      <c r="C250" s="2">
        <v>249130.96784486203</v>
      </c>
      <c r="E250" s="2">
        <v>40.267857142857146</v>
      </c>
      <c r="F250" s="2">
        <v>89390</v>
      </c>
    </row>
    <row r="251" spans="1:6" x14ac:dyDescent="0.2">
      <c r="A251" s="2">
        <v>227</v>
      </c>
      <c r="B251" s="2">
        <v>84189.535907827274</v>
      </c>
      <c r="C251" s="2">
        <v>20164.464092172726</v>
      </c>
      <c r="E251" s="2">
        <v>40.446428571428577</v>
      </c>
      <c r="F251" s="2">
        <v>89547</v>
      </c>
    </row>
    <row r="252" spans="1:6" x14ac:dyDescent="0.2">
      <c r="A252" s="2">
        <v>228</v>
      </c>
      <c r="B252" s="2">
        <v>161119.51696231921</v>
      </c>
      <c r="C252" s="2">
        <v>10143.483037680795</v>
      </c>
      <c r="E252" s="2">
        <v>40.625</v>
      </c>
      <c r="F252" s="2">
        <v>90317</v>
      </c>
    </row>
    <row r="253" spans="1:6" x14ac:dyDescent="0.2">
      <c r="A253" s="2">
        <v>229</v>
      </c>
      <c r="B253" s="2">
        <v>116793.19454520718</v>
      </c>
      <c r="C253" s="2">
        <v>17719.805454792819</v>
      </c>
      <c r="E253" s="2">
        <v>40.803571428571431</v>
      </c>
      <c r="F253" s="2">
        <v>92116</v>
      </c>
    </row>
    <row r="254" spans="1:6" x14ac:dyDescent="0.2">
      <c r="A254" s="2">
        <v>230</v>
      </c>
      <c r="B254" s="2">
        <v>226326.83423707902</v>
      </c>
      <c r="C254" s="2">
        <v>104026.16576292098</v>
      </c>
      <c r="E254" s="2">
        <v>40.982142857142861</v>
      </c>
      <c r="F254" s="2">
        <v>93216</v>
      </c>
    </row>
    <row r="255" spans="1:6" x14ac:dyDescent="0.2">
      <c r="A255" s="2">
        <v>231</v>
      </c>
      <c r="B255" s="2">
        <v>42061.212949415021</v>
      </c>
      <c r="C255" s="2">
        <v>5950.7870505849787</v>
      </c>
      <c r="E255" s="2">
        <v>41.160714285714285</v>
      </c>
      <c r="F255" s="2">
        <v>93418</v>
      </c>
    </row>
    <row r="256" spans="1:6" x14ac:dyDescent="0.2">
      <c r="A256" s="2">
        <v>232</v>
      </c>
      <c r="B256" s="2">
        <v>26675.216738516639</v>
      </c>
      <c r="C256" s="2">
        <v>-22717.216738516639</v>
      </c>
      <c r="E256" s="2">
        <v>41.339285714285715</v>
      </c>
      <c r="F256" s="2">
        <v>94273</v>
      </c>
    </row>
    <row r="257" spans="1:6" x14ac:dyDescent="0.2">
      <c r="A257" s="2">
        <v>233</v>
      </c>
      <c r="B257" s="2">
        <v>13853.553229434649</v>
      </c>
      <c r="C257" s="2">
        <v>-13852.553229434649</v>
      </c>
      <c r="E257" s="2">
        <v>41.517857142857146</v>
      </c>
      <c r="F257" s="2">
        <v>96409</v>
      </c>
    </row>
    <row r="258" spans="1:6" x14ac:dyDescent="0.2">
      <c r="A258" s="2">
        <v>234</v>
      </c>
      <c r="B258" s="2">
        <v>777658.36512760457</v>
      </c>
      <c r="C258" s="2">
        <v>934792.63487239543</v>
      </c>
      <c r="E258" s="2">
        <v>41.696428571428577</v>
      </c>
      <c r="F258" s="2">
        <v>97524</v>
      </c>
    </row>
    <row r="259" spans="1:6" x14ac:dyDescent="0.2">
      <c r="A259" s="2">
        <v>235</v>
      </c>
      <c r="B259" s="2">
        <v>779123.69810007105</v>
      </c>
      <c r="C259" s="2">
        <v>249998.30189992895</v>
      </c>
      <c r="E259" s="2">
        <v>41.875</v>
      </c>
      <c r="F259" s="2">
        <v>97593</v>
      </c>
    </row>
    <row r="260" spans="1:6" x14ac:dyDescent="0.2">
      <c r="A260" s="2">
        <v>236</v>
      </c>
      <c r="B260" s="2">
        <v>8409478.8189763203</v>
      </c>
      <c r="C260" s="2">
        <v>2396656.1810236797</v>
      </c>
      <c r="E260" s="2">
        <v>42.053571428571431</v>
      </c>
      <c r="F260" s="2">
        <v>97854</v>
      </c>
    </row>
    <row r="261" spans="1:6" x14ac:dyDescent="0.2">
      <c r="A261" s="2">
        <v>237</v>
      </c>
      <c r="B261" s="2">
        <v>5279161.2565447325</v>
      </c>
      <c r="C261" s="2">
        <v>-3800855.2565447325</v>
      </c>
      <c r="E261" s="2">
        <v>42.232142857142861</v>
      </c>
      <c r="F261" s="2">
        <v>98222</v>
      </c>
    </row>
    <row r="262" spans="1:6" x14ac:dyDescent="0.2">
      <c r="A262" s="2">
        <v>238</v>
      </c>
      <c r="B262" s="2">
        <v>1091605.9544785549</v>
      </c>
      <c r="C262" s="2">
        <v>120173.04552144511</v>
      </c>
      <c r="E262" s="2">
        <v>42.410714285714285</v>
      </c>
      <c r="F262" s="2">
        <v>99517</v>
      </c>
    </row>
    <row r="263" spans="1:6" x14ac:dyDescent="0.2">
      <c r="A263" s="2">
        <v>239</v>
      </c>
      <c r="B263" s="2">
        <v>2286218.6602818798</v>
      </c>
      <c r="C263" s="2">
        <v>-1636447.6602818798</v>
      </c>
      <c r="E263" s="2">
        <v>42.589285714285715</v>
      </c>
      <c r="F263" s="2">
        <v>100954</v>
      </c>
    </row>
    <row r="264" spans="1:6" x14ac:dyDescent="0.2">
      <c r="A264" s="2">
        <v>240</v>
      </c>
      <c r="B264" s="2">
        <v>60744.208348363063</v>
      </c>
      <c r="C264" s="2">
        <v>65098.791651636937</v>
      </c>
      <c r="E264" s="2">
        <v>42.767857142857146</v>
      </c>
      <c r="F264" s="2">
        <v>101489</v>
      </c>
    </row>
    <row r="265" spans="1:6" x14ac:dyDescent="0.2">
      <c r="A265" s="2">
        <v>241</v>
      </c>
      <c r="B265" s="2">
        <v>1821708.108009995</v>
      </c>
      <c r="C265" s="2">
        <v>617685.89199000504</v>
      </c>
      <c r="E265" s="2">
        <v>42.946428571428577</v>
      </c>
      <c r="F265" s="2">
        <v>102632</v>
      </c>
    </row>
    <row r="266" spans="1:6" x14ac:dyDescent="0.2">
      <c r="A266" s="2">
        <v>242</v>
      </c>
      <c r="B266" s="2">
        <v>41328.546463181767</v>
      </c>
      <c r="C266" s="2">
        <v>-21755.546463181767</v>
      </c>
      <c r="E266" s="2">
        <v>43.125</v>
      </c>
      <c r="F266" s="2">
        <v>102995</v>
      </c>
    </row>
    <row r="267" spans="1:6" x14ac:dyDescent="0.2">
      <c r="A267" s="2">
        <v>243</v>
      </c>
      <c r="B267" s="2">
        <v>184931.17776490003</v>
      </c>
      <c r="C267" s="2">
        <v>2786.8222350999713</v>
      </c>
      <c r="E267" s="2">
        <v>43.303571428571431</v>
      </c>
      <c r="F267" s="2">
        <v>103517</v>
      </c>
    </row>
    <row r="268" spans="1:6" x14ac:dyDescent="0.2">
      <c r="A268" s="2">
        <v>244</v>
      </c>
      <c r="B268" s="2">
        <v>44259.212408114792</v>
      </c>
      <c r="C268" s="2">
        <v>4387.7875918852078</v>
      </c>
      <c r="E268" s="2">
        <v>43.482142857142861</v>
      </c>
      <c r="F268" s="2">
        <v>104187</v>
      </c>
    </row>
    <row r="269" spans="1:6" x14ac:dyDescent="0.2">
      <c r="A269" s="2">
        <v>245</v>
      </c>
      <c r="B269" s="2">
        <v>914300.66481010686</v>
      </c>
      <c r="C269" s="2">
        <v>-659875.66481010686</v>
      </c>
      <c r="E269" s="2">
        <v>43.660714285714285</v>
      </c>
      <c r="F269" s="2">
        <v>104354</v>
      </c>
    </row>
    <row r="270" spans="1:6" x14ac:dyDescent="0.2">
      <c r="A270" s="2">
        <v>246</v>
      </c>
      <c r="B270" s="2">
        <v>362602.80067646474</v>
      </c>
      <c r="C270" s="2">
        <v>420577.19932353526</v>
      </c>
      <c r="E270" s="2">
        <v>43.839285714285715</v>
      </c>
      <c r="F270" s="2">
        <v>106031</v>
      </c>
    </row>
    <row r="271" spans="1:6" x14ac:dyDescent="0.2">
      <c r="A271" s="2">
        <v>247</v>
      </c>
      <c r="B271" s="2">
        <v>496680.76765715069</v>
      </c>
      <c r="C271" s="2">
        <v>546849.23234284925</v>
      </c>
      <c r="E271" s="2">
        <v>44.017857142857146</v>
      </c>
      <c r="F271" s="2">
        <v>106227</v>
      </c>
    </row>
    <row r="272" spans="1:6" x14ac:dyDescent="0.2">
      <c r="A272" s="2">
        <v>248</v>
      </c>
      <c r="B272" s="2">
        <v>1147654.940675399</v>
      </c>
      <c r="C272" s="2">
        <v>-825720.94067539903</v>
      </c>
      <c r="E272" s="2">
        <v>44.196428571428577</v>
      </c>
      <c r="F272" s="2">
        <v>106725</v>
      </c>
    </row>
    <row r="273" spans="1:6" x14ac:dyDescent="0.2">
      <c r="A273" s="2">
        <v>249</v>
      </c>
      <c r="B273" s="2">
        <v>78328.204017961223</v>
      </c>
      <c r="C273" s="2">
        <v>197009.79598203878</v>
      </c>
      <c r="E273" s="2">
        <v>44.375</v>
      </c>
      <c r="F273" s="2">
        <v>106794</v>
      </c>
    </row>
    <row r="274" spans="1:6" x14ac:dyDescent="0.2">
      <c r="A274" s="2">
        <v>250</v>
      </c>
      <c r="B274" s="2">
        <v>369563.13229568064</v>
      </c>
      <c r="C274" s="2">
        <v>87055.86770431936</v>
      </c>
      <c r="E274" s="2">
        <v>44.553571428571431</v>
      </c>
      <c r="F274" s="2">
        <v>106995</v>
      </c>
    </row>
    <row r="275" spans="1:6" x14ac:dyDescent="0.2">
      <c r="A275" s="2">
        <v>251</v>
      </c>
      <c r="B275" s="2">
        <v>380186.79634606291</v>
      </c>
      <c r="C275" s="2">
        <v>2145402.2036539372</v>
      </c>
      <c r="E275" s="2">
        <v>44.732142857142861</v>
      </c>
      <c r="F275" s="2">
        <v>108216</v>
      </c>
    </row>
    <row r="276" spans="1:6" x14ac:dyDescent="0.2">
      <c r="A276" s="2">
        <v>252</v>
      </c>
      <c r="B276" s="2">
        <v>61110.54159147969</v>
      </c>
      <c r="C276" s="2">
        <v>5842.4584085203096</v>
      </c>
      <c r="E276" s="2">
        <v>44.910714285714285</v>
      </c>
      <c r="F276" s="2">
        <v>108352</v>
      </c>
    </row>
    <row r="277" spans="1:6" x14ac:dyDescent="0.2">
      <c r="A277" s="2">
        <v>253</v>
      </c>
      <c r="B277" s="2">
        <v>187129.17722359981</v>
      </c>
      <c r="C277" s="2">
        <v>-141100.17722359981</v>
      </c>
      <c r="E277" s="2">
        <v>45.089285714285715</v>
      </c>
      <c r="F277" s="2">
        <v>110023</v>
      </c>
    </row>
    <row r="278" spans="1:6" x14ac:dyDescent="0.2">
      <c r="A278" s="2">
        <v>254</v>
      </c>
      <c r="B278" s="2">
        <v>27488846.786976553</v>
      </c>
      <c r="C278" s="2">
        <v>3449748.2130234465</v>
      </c>
      <c r="E278" s="2">
        <v>45.267857142857146</v>
      </c>
      <c r="F278" s="2">
        <v>114803</v>
      </c>
    </row>
    <row r="279" spans="1:6" x14ac:dyDescent="0.2">
      <c r="A279" s="2">
        <v>255</v>
      </c>
      <c r="B279" s="2">
        <v>1023101.6380157454</v>
      </c>
      <c r="C279" s="2">
        <v>41721.36198425456</v>
      </c>
      <c r="E279" s="2">
        <v>45.446428571428577</v>
      </c>
      <c r="F279" s="2">
        <v>114994</v>
      </c>
    </row>
    <row r="280" spans="1:6" x14ac:dyDescent="0.2">
      <c r="A280" s="2">
        <v>256</v>
      </c>
      <c r="B280" s="2">
        <v>44625.545651231419</v>
      </c>
      <c r="C280" s="2">
        <v>7744.4543487685805</v>
      </c>
      <c r="E280" s="2">
        <v>45.625</v>
      </c>
      <c r="F280" s="2">
        <v>121994</v>
      </c>
    </row>
    <row r="281" spans="1:6" x14ac:dyDescent="0.2">
      <c r="A281" s="2">
        <v>257</v>
      </c>
      <c r="B281" s="2">
        <v>185297.51100801668</v>
      </c>
      <c r="C281" s="2">
        <v>82094.488991983322</v>
      </c>
      <c r="E281" s="2">
        <v>45.803571428571431</v>
      </c>
      <c r="F281" s="2">
        <v>123822</v>
      </c>
    </row>
    <row r="282" spans="1:6" x14ac:dyDescent="0.2">
      <c r="A282" s="2">
        <v>258</v>
      </c>
      <c r="B282" s="2">
        <v>70635.205912512029</v>
      </c>
      <c r="C282" s="2">
        <v>100628.79408748797</v>
      </c>
      <c r="E282" s="2">
        <v>45.982142857142861</v>
      </c>
      <c r="F282" s="2">
        <v>124783</v>
      </c>
    </row>
    <row r="283" spans="1:6" x14ac:dyDescent="0.2">
      <c r="A283" s="2">
        <v>259</v>
      </c>
      <c r="B283" s="2">
        <v>29239.549440333034</v>
      </c>
      <c r="C283" s="2">
        <v>8002.450559666966</v>
      </c>
      <c r="E283" s="2">
        <v>46.160714285714285</v>
      </c>
      <c r="F283" s="2">
        <v>125337</v>
      </c>
    </row>
    <row r="284" spans="1:6" x14ac:dyDescent="0.2">
      <c r="A284" s="2">
        <v>260</v>
      </c>
      <c r="B284" s="2">
        <v>2263872.3324517654</v>
      </c>
      <c r="C284" s="2">
        <v>-1622892.3324517654</v>
      </c>
      <c r="E284" s="2">
        <v>46.339285714285715</v>
      </c>
      <c r="F284" s="2">
        <v>125843</v>
      </c>
    </row>
    <row r="285" spans="1:6" x14ac:dyDescent="0.2">
      <c r="A285" s="2">
        <v>261</v>
      </c>
      <c r="B285" s="2">
        <v>39130.547004481996</v>
      </c>
      <c r="C285" s="2">
        <v>147.45299551800417</v>
      </c>
      <c r="E285" s="2">
        <v>46.517857142857146</v>
      </c>
      <c r="F285" s="2">
        <v>130516</v>
      </c>
    </row>
    <row r="286" spans="1:6" x14ac:dyDescent="0.2">
      <c r="A286" s="2">
        <v>262</v>
      </c>
      <c r="B286" s="2">
        <v>1250594.5819911717</v>
      </c>
      <c r="C286" s="2">
        <v>187539.4180088283</v>
      </c>
      <c r="E286" s="2">
        <v>46.696428571428577</v>
      </c>
      <c r="F286" s="2">
        <v>131249</v>
      </c>
    </row>
    <row r="287" spans="1:6" x14ac:dyDescent="0.2">
      <c r="A287" s="2">
        <v>263</v>
      </c>
      <c r="B287" s="2">
        <v>57080.875917196783</v>
      </c>
      <c r="C287" s="2">
        <v>-2597.8759171967831</v>
      </c>
      <c r="E287" s="2">
        <v>46.875</v>
      </c>
      <c r="F287" s="2">
        <v>131624</v>
      </c>
    </row>
    <row r="288" spans="1:6" x14ac:dyDescent="0.2">
      <c r="A288" s="2">
        <v>264</v>
      </c>
      <c r="B288" s="2">
        <v>123387.19292130649</v>
      </c>
      <c r="C288" s="2">
        <v>-89316.192921306487</v>
      </c>
      <c r="E288" s="2">
        <v>47.053571428571431</v>
      </c>
      <c r="F288" s="2">
        <v>132303</v>
      </c>
    </row>
    <row r="289" spans="1:6" x14ac:dyDescent="0.2">
      <c r="A289" s="2">
        <v>265</v>
      </c>
      <c r="B289" s="2">
        <v>68803.539696928885</v>
      </c>
      <c r="C289" s="2">
        <v>-9311.539696928885</v>
      </c>
      <c r="E289" s="2">
        <v>47.232142857142861</v>
      </c>
      <c r="F289" s="2">
        <v>133320</v>
      </c>
    </row>
    <row r="290" spans="1:6" x14ac:dyDescent="0.2">
      <c r="A290" s="2">
        <v>266</v>
      </c>
      <c r="B290" s="2">
        <v>35467.214573315716</v>
      </c>
      <c r="C290" s="2">
        <v>-19912.214573315716</v>
      </c>
      <c r="E290" s="2">
        <v>47.410714285714285</v>
      </c>
      <c r="F290" s="2">
        <v>133343</v>
      </c>
    </row>
    <row r="291" spans="1:6" x14ac:dyDescent="0.2">
      <c r="A291" s="2">
        <v>267</v>
      </c>
      <c r="B291" s="2">
        <v>570680.08276670962</v>
      </c>
      <c r="C291" s="2">
        <v>-118194.08276670962</v>
      </c>
      <c r="E291" s="2">
        <v>47.589285714285715</v>
      </c>
      <c r="F291" s="2">
        <v>133558</v>
      </c>
    </row>
    <row r="292" spans="1:6" x14ac:dyDescent="0.2">
      <c r="A292" s="2">
        <v>268</v>
      </c>
      <c r="B292" s="2">
        <v>64041.207536412716</v>
      </c>
      <c r="C292" s="2">
        <v>-4439.2075364127159</v>
      </c>
      <c r="E292" s="2">
        <v>47.767857142857146</v>
      </c>
      <c r="F292" s="2">
        <v>134513</v>
      </c>
    </row>
    <row r="293" spans="1:6" x14ac:dyDescent="0.2">
      <c r="A293" s="2">
        <v>269</v>
      </c>
      <c r="B293" s="2">
        <v>470671.10739587009</v>
      </c>
      <c r="C293" s="2">
        <v>17561.892604129913</v>
      </c>
      <c r="E293" s="2">
        <v>47.946428571428577</v>
      </c>
      <c r="F293" s="2">
        <v>135025</v>
      </c>
    </row>
    <row r="294" spans="1:6" x14ac:dyDescent="0.2">
      <c r="A294" s="2">
        <v>270</v>
      </c>
      <c r="B294" s="2">
        <v>80892.536719777621</v>
      </c>
      <c r="C294" s="2">
        <v>25334.463280222379</v>
      </c>
      <c r="E294" s="2">
        <v>48.125</v>
      </c>
      <c r="F294" s="2">
        <v>143332</v>
      </c>
    </row>
    <row r="295" spans="1:6" x14ac:dyDescent="0.2">
      <c r="A295" s="2">
        <v>271</v>
      </c>
      <c r="B295" s="2">
        <v>196287.50830151551</v>
      </c>
      <c r="C295" s="2">
        <v>-147926.50830151551</v>
      </c>
      <c r="E295" s="2">
        <v>48.303571428571431</v>
      </c>
      <c r="F295" s="2">
        <v>143518</v>
      </c>
    </row>
    <row r="296" spans="1:6" x14ac:dyDescent="0.2">
      <c r="A296" s="2">
        <v>272</v>
      </c>
      <c r="B296" s="2">
        <v>44625.545651231419</v>
      </c>
      <c r="C296" s="2">
        <v>7764.4543487685805</v>
      </c>
      <c r="E296" s="2">
        <v>48.482142857142861</v>
      </c>
      <c r="F296" s="2">
        <v>144065</v>
      </c>
    </row>
    <row r="297" spans="1:6" x14ac:dyDescent="0.2">
      <c r="A297" s="2">
        <v>273</v>
      </c>
      <c r="B297" s="2">
        <v>641748.73193133541</v>
      </c>
      <c r="C297" s="2">
        <v>-3974.7319313354092</v>
      </c>
      <c r="E297" s="2">
        <v>48.660714285714285</v>
      </c>
      <c r="F297" s="2">
        <v>144311</v>
      </c>
    </row>
    <row r="298" spans="1:6" x14ac:dyDescent="0.2">
      <c r="A298" s="2">
        <v>274</v>
      </c>
      <c r="B298" s="2">
        <v>1516918.8497369604</v>
      </c>
      <c r="C298" s="2">
        <v>-498629.84973696037</v>
      </c>
      <c r="E298" s="2">
        <v>48.839285714285715</v>
      </c>
      <c r="F298" s="2">
        <v>144678</v>
      </c>
    </row>
    <row r="299" spans="1:6" x14ac:dyDescent="0.2">
      <c r="A299" s="2">
        <v>275</v>
      </c>
      <c r="B299" s="2">
        <v>772529.69972397177</v>
      </c>
      <c r="C299" s="2">
        <v>-170782.69972397177</v>
      </c>
      <c r="E299" s="2">
        <v>49.017857142857146</v>
      </c>
      <c r="F299" s="2">
        <v>146456</v>
      </c>
    </row>
    <row r="300" spans="1:6" x14ac:dyDescent="0.2">
      <c r="A300" s="2">
        <v>276</v>
      </c>
      <c r="B300" s="2">
        <v>2872351.8492684849</v>
      </c>
      <c r="C300" s="2">
        <v>3988485.1507315151</v>
      </c>
      <c r="E300" s="2">
        <v>49.196428571428577</v>
      </c>
      <c r="F300" s="2">
        <v>146917</v>
      </c>
    </row>
    <row r="301" spans="1:6" x14ac:dyDescent="0.2">
      <c r="A301" s="2">
        <v>277</v>
      </c>
      <c r="B301" s="2">
        <v>3340159.4007284194</v>
      </c>
      <c r="C301" s="2">
        <v>-2388528.4007284194</v>
      </c>
      <c r="E301" s="2">
        <v>49.375</v>
      </c>
      <c r="F301" s="2">
        <v>147414</v>
      </c>
    </row>
    <row r="302" spans="1:6" x14ac:dyDescent="0.2">
      <c r="A302" s="2">
        <v>278</v>
      </c>
      <c r="B302" s="2">
        <v>13853.553229434649</v>
      </c>
      <c r="C302" s="2">
        <v>-13851.553229434649</v>
      </c>
      <c r="E302" s="2">
        <v>49.553571428571431</v>
      </c>
      <c r="F302" s="2">
        <v>148175</v>
      </c>
    </row>
    <row r="303" spans="1:6" x14ac:dyDescent="0.2">
      <c r="A303" s="2">
        <v>279</v>
      </c>
      <c r="B303" s="2">
        <v>107634.86346729148</v>
      </c>
      <c r="C303" s="2">
        <v>-81533.863467291478</v>
      </c>
      <c r="E303" s="2">
        <v>49.732142857142861</v>
      </c>
      <c r="F303" s="2">
        <v>148198</v>
      </c>
    </row>
    <row r="304" spans="1:6" x14ac:dyDescent="0.2">
      <c r="A304" s="2">
        <v>280</v>
      </c>
      <c r="B304" s="2">
        <v>200317.17397579842</v>
      </c>
      <c r="C304" s="2">
        <v>4325.8260242015822</v>
      </c>
      <c r="E304" s="2">
        <v>49.910714285714285</v>
      </c>
      <c r="F304" s="2">
        <v>149367</v>
      </c>
    </row>
    <row r="305" spans="1:6" x14ac:dyDescent="0.2">
      <c r="A305" s="2">
        <v>281</v>
      </c>
      <c r="B305" s="2">
        <v>33269.215114615945</v>
      </c>
      <c r="C305" s="2">
        <v>-13789.215114615945</v>
      </c>
      <c r="E305" s="2">
        <v>50.089285714285715</v>
      </c>
      <c r="F305" s="2">
        <v>153514</v>
      </c>
    </row>
    <row r="306" spans="1:6" x14ac:dyDescent="0.2">
      <c r="A306" s="2">
        <v>282</v>
      </c>
      <c r="B306" s="2">
        <v>21546.551334883843</v>
      </c>
      <c r="C306" s="2">
        <v>-16010.551334883843</v>
      </c>
      <c r="E306" s="2">
        <v>50.267857142857146</v>
      </c>
      <c r="F306" s="2">
        <v>153997</v>
      </c>
    </row>
    <row r="307" spans="1:6" x14ac:dyDescent="0.2">
      <c r="A307" s="2">
        <v>283</v>
      </c>
      <c r="B307" s="2">
        <v>159654.1839898527</v>
      </c>
      <c r="C307" s="2">
        <v>-118108.1839898527</v>
      </c>
      <c r="E307" s="2">
        <v>50.446428571428577</v>
      </c>
      <c r="F307" s="2">
        <v>155378</v>
      </c>
    </row>
    <row r="308" spans="1:6" x14ac:dyDescent="0.2">
      <c r="A308" s="2">
        <v>284</v>
      </c>
      <c r="B308" s="2">
        <v>201782.50694826493</v>
      </c>
      <c r="C308" s="2">
        <v>-12259.506948264927</v>
      </c>
      <c r="E308" s="2">
        <v>50.625</v>
      </c>
      <c r="F308" s="2">
        <v>156211</v>
      </c>
    </row>
    <row r="309" spans="1:6" x14ac:dyDescent="0.2">
      <c r="A309" s="2">
        <v>285</v>
      </c>
      <c r="B309" s="2">
        <v>3175675.7745690532</v>
      </c>
      <c r="C309" s="2">
        <v>1888095.2254309468</v>
      </c>
      <c r="E309" s="2">
        <v>50.803571428571431</v>
      </c>
      <c r="F309" s="2">
        <v>156255</v>
      </c>
    </row>
    <row r="310" spans="1:6" x14ac:dyDescent="0.2">
      <c r="A310" s="2">
        <v>286</v>
      </c>
      <c r="B310" s="2">
        <v>42061.212949415021</v>
      </c>
      <c r="C310" s="2">
        <v>5872.7870505849787</v>
      </c>
      <c r="E310" s="2">
        <v>50.982142857142861</v>
      </c>
      <c r="F310" s="2">
        <v>157166</v>
      </c>
    </row>
    <row r="311" spans="1:6" x14ac:dyDescent="0.2">
      <c r="A311" s="2">
        <v>287</v>
      </c>
      <c r="B311" s="2">
        <v>3368733.3936915165</v>
      </c>
      <c r="C311" s="2">
        <v>-2409038.3936915165</v>
      </c>
      <c r="E311" s="2">
        <v>51.160714285714285</v>
      </c>
      <c r="F311" s="2">
        <v>161470</v>
      </c>
    </row>
    <row r="312" spans="1:6" x14ac:dyDescent="0.2">
      <c r="A312" s="2">
        <v>288</v>
      </c>
      <c r="B312" s="2">
        <v>100308.19860495892</v>
      </c>
      <c r="C312" s="2">
        <v>-12138.198604958918</v>
      </c>
      <c r="E312" s="2">
        <v>51.339285714285715</v>
      </c>
      <c r="F312" s="2">
        <v>162407</v>
      </c>
    </row>
    <row r="313" spans="1:6" x14ac:dyDescent="0.2">
      <c r="A313" s="2">
        <v>289</v>
      </c>
      <c r="B313" s="2">
        <v>424513.11876317492</v>
      </c>
      <c r="C313" s="2">
        <v>-136900.11876317492</v>
      </c>
      <c r="E313" s="2">
        <v>51.517857142857146</v>
      </c>
      <c r="F313" s="2">
        <v>163150</v>
      </c>
    </row>
    <row r="314" spans="1:6" x14ac:dyDescent="0.2">
      <c r="A314" s="2">
        <v>290</v>
      </c>
      <c r="B314" s="2">
        <v>42793.879435648283</v>
      </c>
      <c r="C314" s="2">
        <v>7408.1205643517169</v>
      </c>
      <c r="E314" s="2">
        <v>51.696428571428577</v>
      </c>
      <c r="F314" s="2">
        <v>165080</v>
      </c>
    </row>
    <row r="315" spans="1:6" x14ac:dyDescent="0.2">
      <c r="A315" s="2">
        <v>291</v>
      </c>
      <c r="B315" s="2">
        <v>55981.876187846894</v>
      </c>
      <c r="C315" s="2">
        <v>44972.123812153106</v>
      </c>
      <c r="E315" s="2">
        <v>51.875</v>
      </c>
      <c r="F315" s="2">
        <v>165984</v>
      </c>
    </row>
    <row r="316" spans="1:6" x14ac:dyDescent="0.2">
      <c r="A316" s="2">
        <v>292</v>
      </c>
      <c r="B316" s="2">
        <v>95179.533201326121</v>
      </c>
      <c r="C316" s="2">
        <v>61075.466798673879</v>
      </c>
      <c r="E316" s="2">
        <v>52.053571428571431</v>
      </c>
      <c r="F316" s="2">
        <v>166982</v>
      </c>
    </row>
    <row r="317" spans="1:6" x14ac:dyDescent="0.2">
      <c r="A317" s="2">
        <v>293</v>
      </c>
      <c r="B317" s="2">
        <v>695599.71866947983</v>
      </c>
      <c r="C317" s="2">
        <v>99147.281330520171</v>
      </c>
      <c r="E317" s="2">
        <v>52.232142857142861</v>
      </c>
      <c r="F317" s="2">
        <v>167528</v>
      </c>
    </row>
    <row r="318" spans="1:6" x14ac:dyDescent="0.2">
      <c r="A318" s="2">
        <v>294</v>
      </c>
      <c r="B318" s="2">
        <v>194822.175329049</v>
      </c>
      <c r="C318" s="2">
        <v>87642.824670950999</v>
      </c>
      <c r="E318" s="2">
        <v>52.410714285714285</v>
      </c>
      <c r="F318" s="2">
        <v>170584</v>
      </c>
    </row>
    <row r="319" spans="1:6" x14ac:dyDescent="0.2">
      <c r="A319" s="2">
        <v>295</v>
      </c>
      <c r="B319" s="2">
        <v>41328.546463181767</v>
      </c>
      <c r="C319" s="2">
        <v>-22714.546463181767</v>
      </c>
      <c r="E319" s="2">
        <v>52.589285714285715</v>
      </c>
      <c r="F319" s="2">
        <v>171263</v>
      </c>
    </row>
    <row r="320" spans="1:6" x14ac:dyDescent="0.2">
      <c r="A320" s="2">
        <v>296</v>
      </c>
      <c r="B320" s="2">
        <v>148664.18669635383</v>
      </c>
      <c r="C320" s="2">
        <v>38003.813303646166</v>
      </c>
      <c r="E320" s="2">
        <v>52.767857142857146</v>
      </c>
      <c r="F320" s="2">
        <v>171264</v>
      </c>
    </row>
    <row r="321" spans="1:6" x14ac:dyDescent="0.2">
      <c r="A321" s="2">
        <v>297</v>
      </c>
      <c r="B321" s="2">
        <v>16417.885931251047</v>
      </c>
      <c r="C321" s="2">
        <v>-14363.885931251047</v>
      </c>
      <c r="E321" s="2">
        <v>52.946428571428577</v>
      </c>
      <c r="F321" s="2">
        <v>171467</v>
      </c>
    </row>
    <row r="322" spans="1:6" x14ac:dyDescent="0.2">
      <c r="A322" s="2">
        <v>298</v>
      </c>
      <c r="B322" s="2">
        <v>73199.538614328427</v>
      </c>
      <c r="C322" s="2">
        <v>-33756.538614328427</v>
      </c>
      <c r="E322" s="2">
        <v>53.125</v>
      </c>
      <c r="F322" s="2">
        <v>173703</v>
      </c>
    </row>
    <row r="323" spans="1:6" x14ac:dyDescent="0.2">
      <c r="A323" s="2">
        <v>299</v>
      </c>
      <c r="B323" s="2">
        <v>7979403.5915573984</v>
      </c>
      <c r="C323" s="2">
        <v>-5750501.5915573984</v>
      </c>
      <c r="E323" s="2">
        <v>53.303571428571431</v>
      </c>
      <c r="F323" s="2">
        <v>176811</v>
      </c>
    </row>
    <row r="324" spans="1:6" x14ac:dyDescent="0.2">
      <c r="A324" s="2">
        <v>300</v>
      </c>
      <c r="B324" s="2">
        <v>295197.48394300515</v>
      </c>
      <c r="C324" s="2">
        <v>347600.51605699485</v>
      </c>
      <c r="E324" s="2">
        <v>53.482142857142861</v>
      </c>
      <c r="F324" s="2">
        <v>177297</v>
      </c>
    </row>
    <row r="325" spans="1:6" x14ac:dyDescent="0.2">
      <c r="A325" s="2">
        <v>301</v>
      </c>
      <c r="B325" s="2">
        <v>14952.552958784534</v>
      </c>
      <c r="C325" s="2">
        <v>-13977.552958784534</v>
      </c>
      <c r="E325" s="2">
        <v>53.660714285714285</v>
      </c>
      <c r="F325" s="2">
        <v>181242</v>
      </c>
    </row>
    <row r="326" spans="1:6" x14ac:dyDescent="0.2">
      <c r="A326" s="2">
        <v>302</v>
      </c>
      <c r="B326" s="2">
        <v>38764.213761365369</v>
      </c>
      <c r="C326" s="2">
        <v>-20561.213761365369</v>
      </c>
      <c r="E326" s="2">
        <v>53.839285714285715</v>
      </c>
      <c r="F326" s="2">
        <v>182138</v>
      </c>
    </row>
    <row r="327" spans="1:6" x14ac:dyDescent="0.2">
      <c r="A327" s="2">
        <v>303</v>
      </c>
      <c r="B327" s="2">
        <v>87120.201852760292</v>
      </c>
      <c r="C327" s="2">
        <v>-13205.201852760292</v>
      </c>
      <c r="E327" s="2">
        <v>54.017857142857146</v>
      </c>
      <c r="F327" s="2">
        <v>183518</v>
      </c>
    </row>
    <row r="328" spans="1:6" x14ac:dyDescent="0.2">
      <c r="A328" s="2">
        <v>304</v>
      </c>
      <c r="B328" s="2">
        <v>78328.204017961223</v>
      </c>
      <c r="C328" s="2">
        <v>206083.79598203878</v>
      </c>
      <c r="E328" s="2">
        <v>54.196428571428577</v>
      </c>
      <c r="F328" s="2">
        <v>184435</v>
      </c>
    </row>
    <row r="329" spans="1:6" x14ac:dyDescent="0.2">
      <c r="A329" s="2">
        <v>305</v>
      </c>
      <c r="B329" s="2">
        <v>1369286.5527609591</v>
      </c>
      <c r="C329" s="2">
        <v>292082.44723904086</v>
      </c>
      <c r="E329" s="2">
        <v>54.375</v>
      </c>
      <c r="F329" s="2">
        <v>185665</v>
      </c>
    </row>
    <row r="330" spans="1:6" x14ac:dyDescent="0.2">
      <c r="A330" s="2">
        <v>306</v>
      </c>
      <c r="B330" s="2">
        <v>18615.885389950818</v>
      </c>
      <c r="C330" s="2">
        <v>-15006.885389950818</v>
      </c>
      <c r="E330" s="2">
        <v>54.553571428571431</v>
      </c>
      <c r="F330" s="2">
        <v>186668</v>
      </c>
    </row>
    <row r="331" spans="1:6" x14ac:dyDescent="0.2">
      <c r="A331" s="2">
        <v>307</v>
      </c>
      <c r="B331" s="2">
        <v>14586.219715667905</v>
      </c>
      <c r="C331" s="2">
        <v>-13891.219715667905</v>
      </c>
      <c r="E331" s="2">
        <v>54.732142857142861</v>
      </c>
      <c r="F331" s="2">
        <v>187718</v>
      </c>
    </row>
    <row r="332" spans="1:6" x14ac:dyDescent="0.2">
      <c r="A332" s="2">
        <v>308</v>
      </c>
      <c r="B332" s="2">
        <v>4043519.2275123456</v>
      </c>
      <c r="C332" s="2">
        <v>-1442954.2275123456</v>
      </c>
      <c r="E332" s="2">
        <v>54.910714285714285</v>
      </c>
      <c r="F332" s="2">
        <v>187808</v>
      </c>
    </row>
    <row r="333" spans="1:6" x14ac:dyDescent="0.2">
      <c r="A333" s="2">
        <v>309</v>
      </c>
      <c r="B333" s="2">
        <v>166248.182365952</v>
      </c>
      <c r="C333" s="2">
        <v>205846.817634048</v>
      </c>
      <c r="E333" s="2">
        <v>55.089285714285715</v>
      </c>
      <c r="F333" s="2">
        <v>189523</v>
      </c>
    </row>
    <row r="334" spans="1:6" x14ac:dyDescent="0.2">
      <c r="A334" s="2">
        <v>310</v>
      </c>
      <c r="B334" s="2">
        <v>14158712.736448685</v>
      </c>
      <c r="C334" s="2">
        <v>1055392.2635513153</v>
      </c>
      <c r="E334" s="2">
        <v>55.267857142857146</v>
      </c>
      <c r="F334" s="2">
        <v>191347</v>
      </c>
    </row>
    <row r="335" spans="1:6" x14ac:dyDescent="0.2">
      <c r="A335" s="2">
        <v>311</v>
      </c>
      <c r="B335" s="2">
        <v>938844.99209892098</v>
      </c>
      <c r="C335" s="2">
        <v>1157261.007901079</v>
      </c>
      <c r="E335" s="2">
        <v>55.446428571428577</v>
      </c>
      <c r="F335" s="2">
        <v>193664</v>
      </c>
    </row>
    <row r="336" spans="1:6" x14ac:dyDescent="0.2">
      <c r="A336" s="2">
        <v>312</v>
      </c>
      <c r="B336" s="2">
        <v>63674.874293296089</v>
      </c>
      <c r="C336" s="2">
        <v>18055.125706703911</v>
      </c>
      <c r="E336" s="2">
        <v>55.625</v>
      </c>
      <c r="F336" s="2">
        <v>194987</v>
      </c>
    </row>
    <row r="337" spans="1:6" x14ac:dyDescent="0.2">
      <c r="A337" s="2">
        <v>313</v>
      </c>
      <c r="B337" s="2">
        <v>65506.540508879232</v>
      </c>
      <c r="C337" s="2">
        <v>-19326.540508879232</v>
      </c>
      <c r="E337" s="2">
        <v>55.803571428571431</v>
      </c>
      <c r="F337" s="2">
        <v>197166</v>
      </c>
    </row>
    <row r="338" spans="1:6" x14ac:dyDescent="0.2">
      <c r="A338" s="2">
        <v>314</v>
      </c>
      <c r="B338" s="2">
        <v>28140.549710983149</v>
      </c>
      <c r="C338" s="2">
        <v>-5862.5497109831485</v>
      </c>
      <c r="E338" s="2">
        <v>55.982142857142861</v>
      </c>
      <c r="F338" s="2">
        <v>197575</v>
      </c>
    </row>
    <row r="339" spans="1:6" x14ac:dyDescent="0.2">
      <c r="A339" s="2">
        <v>315</v>
      </c>
      <c r="B339" s="2">
        <v>177970.8461456841</v>
      </c>
      <c r="C339" s="2">
        <v>-121672.8461456841</v>
      </c>
      <c r="E339" s="2">
        <v>56.160714285714285</v>
      </c>
      <c r="F339" s="2">
        <v>201877</v>
      </c>
    </row>
    <row r="340" spans="1:6" x14ac:dyDescent="0.2">
      <c r="A340" s="2">
        <v>316</v>
      </c>
      <c r="B340" s="2">
        <v>260762.15909004209</v>
      </c>
      <c r="C340" s="2">
        <v>191439.84090995791</v>
      </c>
      <c r="E340" s="2">
        <v>56.339285714285715</v>
      </c>
      <c r="F340" s="2">
        <v>204643</v>
      </c>
    </row>
    <row r="341" spans="1:6" x14ac:dyDescent="0.2">
      <c r="A341" s="2">
        <v>317</v>
      </c>
      <c r="B341" s="2">
        <v>5387229.5632641371</v>
      </c>
      <c r="C341" s="2">
        <v>4489840.4367358629</v>
      </c>
      <c r="E341" s="2">
        <v>56.517857142857146</v>
      </c>
      <c r="F341" s="2">
        <v>205064</v>
      </c>
    </row>
    <row r="342" spans="1:6" x14ac:dyDescent="0.2">
      <c r="A342" s="2">
        <v>318</v>
      </c>
      <c r="B342" s="2">
        <v>69169.872940045519</v>
      </c>
      <c r="C342" s="2">
        <v>10462.127059954481</v>
      </c>
      <c r="E342" s="2">
        <v>56.696428571428577</v>
      </c>
      <c r="F342" s="2">
        <v>205568</v>
      </c>
    </row>
    <row r="343" spans="1:6" x14ac:dyDescent="0.2">
      <c r="A343" s="2">
        <v>319</v>
      </c>
      <c r="B343" s="2">
        <v>468473.10793717031</v>
      </c>
      <c r="C343" s="2">
        <v>140671.89206282969</v>
      </c>
      <c r="E343" s="2">
        <v>56.875</v>
      </c>
      <c r="F343" s="2">
        <v>209772</v>
      </c>
    </row>
    <row r="344" spans="1:6" x14ac:dyDescent="0.2">
      <c r="A344" s="2">
        <v>320</v>
      </c>
      <c r="B344" s="2">
        <v>87120.201852760292</v>
      </c>
      <c r="C344" s="2">
        <v>-5881.2018527602922</v>
      </c>
      <c r="E344" s="2">
        <v>57.053571428571431</v>
      </c>
      <c r="F344" s="2">
        <v>211090</v>
      </c>
    </row>
    <row r="345" spans="1:6" x14ac:dyDescent="0.2">
      <c r="A345" s="2">
        <v>321</v>
      </c>
      <c r="B345" s="2">
        <v>14219.886472551278</v>
      </c>
      <c r="C345" s="2">
        <v>-13942.886472551278</v>
      </c>
      <c r="E345" s="2">
        <v>57.232142857142861</v>
      </c>
      <c r="F345" s="2">
        <v>212849</v>
      </c>
    </row>
    <row r="346" spans="1:6" x14ac:dyDescent="0.2">
      <c r="A346" s="2">
        <v>322</v>
      </c>
      <c r="B346" s="2">
        <v>47189.878353047818</v>
      </c>
      <c r="C346" s="2">
        <v>-23444.878353047818</v>
      </c>
      <c r="E346" s="2">
        <v>57.410714285714285</v>
      </c>
      <c r="F346" s="2">
        <v>216640</v>
      </c>
    </row>
    <row r="347" spans="1:6" x14ac:dyDescent="0.2">
      <c r="A347" s="2">
        <v>323</v>
      </c>
      <c r="B347" s="2">
        <v>776925.69864137121</v>
      </c>
      <c r="C347" s="2">
        <v>1018697.3013586288</v>
      </c>
      <c r="E347" s="2">
        <v>57.589285714285715</v>
      </c>
      <c r="F347" s="2">
        <v>217887</v>
      </c>
    </row>
    <row r="348" spans="1:6" x14ac:dyDescent="0.2">
      <c r="A348" s="2">
        <v>324</v>
      </c>
      <c r="B348" s="2">
        <v>53417.543486030496</v>
      </c>
      <c r="C348" s="2">
        <v>542.45651396950416</v>
      </c>
      <c r="E348" s="2">
        <v>57.767857142857146</v>
      </c>
      <c r="F348" s="2">
        <v>220766</v>
      </c>
    </row>
    <row r="349" spans="1:6" x14ac:dyDescent="0.2">
      <c r="A349" s="2">
        <v>325</v>
      </c>
      <c r="B349" s="2">
        <v>469572.10766652017</v>
      </c>
      <c r="C349" s="2">
        <v>-42372.107666520169</v>
      </c>
      <c r="E349" s="2">
        <v>57.946428571428577</v>
      </c>
      <c r="F349" s="2">
        <v>220837</v>
      </c>
    </row>
    <row r="350" spans="1:6" x14ac:dyDescent="0.2">
      <c r="A350" s="2">
        <v>326</v>
      </c>
      <c r="B350" s="2">
        <v>15251484.800665585</v>
      </c>
      <c r="C350" s="2">
        <v>9861318.1993344147</v>
      </c>
      <c r="E350" s="2">
        <v>58.125</v>
      </c>
      <c r="F350" s="2">
        <v>221127</v>
      </c>
    </row>
    <row r="351" spans="1:6" x14ac:dyDescent="0.2">
      <c r="A351" s="2">
        <v>327</v>
      </c>
      <c r="B351" s="2">
        <v>63674.874293296089</v>
      </c>
      <c r="C351" s="2">
        <v>-48344.874293296089</v>
      </c>
      <c r="E351" s="2">
        <v>58.303571428571431</v>
      </c>
      <c r="F351" s="2">
        <v>221329</v>
      </c>
    </row>
    <row r="352" spans="1:6" x14ac:dyDescent="0.2">
      <c r="A352" s="2">
        <v>328</v>
      </c>
      <c r="B352" s="2">
        <v>375790.79742866335</v>
      </c>
      <c r="C352" s="2">
        <v>201554.20257133665</v>
      </c>
      <c r="E352" s="2">
        <v>58.482142857142861</v>
      </c>
      <c r="F352" s="2">
        <v>221400</v>
      </c>
    </row>
    <row r="353" spans="1:6" x14ac:dyDescent="0.2">
      <c r="A353" s="2">
        <v>329</v>
      </c>
      <c r="B353" s="2">
        <v>710985.71488037822</v>
      </c>
      <c r="C353" s="2">
        <v>65694.285119621782</v>
      </c>
      <c r="E353" s="2">
        <v>58.660714285714285</v>
      </c>
      <c r="F353" s="2">
        <v>227452</v>
      </c>
    </row>
    <row r="354" spans="1:6" x14ac:dyDescent="0.2">
      <c r="A354" s="2">
        <v>330</v>
      </c>
      <c r="B354" s="2">
        <v>492284.76873975113</v>
      </c>
      <c r="C354" s="2">
        <v>573167.23126024893</v>
      </c>
      <c r="E354" s="2">
        <v>58.839285714285715</v>
      </c>
      <c r="F354" s="2">
        <v>227745</v>
      </c>
    </row>
    <row r="355" spans="1:6" x14ac:dyDescent="0.2">
      <c r="A355" s="2">
        <v>331</v>
      </c>
      <c r="B355" s="2">
        <v>69902.539426278759</v>
      </c>
      <c r="C355" s="2">
        <v>-1964.5394262787595</v>
      </c>
      <c r="E355" s="2">
        <v>59.017857142857146</v>
      </c>
      <c r="F355" s="2">
        <v>237386</v>
      </c>
    </row>
    <row r="356" spans="1:6" x14ac:dyDescent="0.2">
      <c r="A356" s="2">
        <v>332</v>
      </c>
      <c r="B356" s="2">
        <v>195188.50857216562</v>
      </c>
      <c r="C356" s="2">
        <v>-139395.50857216562</v>
      </c>
      <c r="E356" s="2">
        <v>59.196428571428577</v>
      </c>
      <c r="F356" s="2">
        <v>246311</v>
      </c>
    </row>
    <row r="357" spans="1:6" x14ac:dyDescent="0.2">
      <c r="A357" s="2">
        <v>333</v>
      </c>
      <c r="B357" s="2">
        <v>68437.20645381225</v>
      </c>
      <c r="C357" s="2">
        <v>1524.7935461877496</v>
      </c>
      <c r="E357" s="2">
        <v>59.375</v>
      </c>
      <c r="F357" s="2">
        <v>248354</v>
      </c>
    </row>
    <row r="358" spans="1:6" x14ac:dyDescent="0.2">
      <c r="A358" s="2">
        <v>334</v>
      </c>
      <c r="B358" s="2">
        <v>3603919.3357723914</v>
      </c>
      <c r="C358" s="2">
        <v>1084683.6642276086</v>
      </c>
      <c r="E358" s="2">
        <v>59.553571428571431</v>
      </c>
      <c r="F358" s="2">
        <v>248703</v>
      </c>
    </row>
    <row r="359" spans="1:6" x14ac:dyDescent="0.2">
      <c r="A359" s="2">
        <v>335</v>
      </c>
      <c r="B359" s="2">
        <v>8015304.2493828284</v>
      </c>
      <c r="C359" s="2">
        <v>2288672.7506171716</v>
      </c>
      <c r="E359" s="2">
        <v>59.732142857142861</v>
      </c>
      <c r="F359" s="2">
        <v>254425</v>
      </c>
    </row>
    <row r="360" spans="1:6" x14ac:dyDescent="0.2">
      <c r="A360" s="2">
        <v>336</v>
      </c>
      <c r="B360" s="2">
        <v>1856876.0993491914</v>
      </c>
      <c r="C360" s="2">
        <v>-1330751.0993491914</v>
      </c>
      <c r="E360" s="2">
        <v>59.910714285714285</v>
      </c>
      <c r="F360" s="2">
        <v>257322</v>
      </c>
    </row>
    <row r="361" spans="1:6" x14ac:dyDescent="0.2">
      <c r="A361" s="2">
        <v>337</v>
      </c>
      <c r="B361" s="2">
        <v>13853.553229434649</v>
      </c>
      <c r="C361" s="2">
        <v>-13756.553229434649</v>
      </c>
      <c r="E361" s="2">
        <v>60.089285714285715</v>
      </c>
      <c r="F361" s="2">
        <v>259406</v>
      </c>
    </row>
    <row r="362" spans="1:6" x14ac:dyDescent="0.2">
      <c r="A362" s="2">
        <v>338</v>
      </c>
      <c r="B362" s="2">
        <v>356008.80230036541</v>
      </c>
      <c r="C362" s="2">
        <v>-230671.80230036541</v>
      </c>
      <c r="E362" s="2">
        <v>60.267857142857146</v>
      </c>
      <c r="F362" s="2">
        <v>267392</v>
      </c>
    </row>
    <row r="363" spans="1:6" x14ac:dyDescent="0.2">
      <c r="A363" s="2">
        <v>339</v>
      </c>
      <c r="B363" s="2">
        <v>269554.15692484117</v>
      </c>
      <c r="C363" s="2">
        <v>-181924.15692484117</v>
      </c>
      <c r="E363" s="2">
        <v>60.446428571428577</v>
      </c>
      <c r="F363" s="2">
        <v>275338</v>
      </c>
    </row>
    <row r="364" spans="1:6" x14ac:dyDescent="0.2">
      <c r="A364" s="2">
        <v>340</v>
      </c>
      <c r="B364" s="2">
        <v>288603.48556690582</v>
      </c>
      <c r="C364" s="2">
        <v>38579.514433094184</v>
      </c>
      <c r="E364" s="2">
        <v>60.625</v>
      </c>
      <c r="F364" s="2">
        <v>277893</v>
      </c>
    </row>
    <row r="365" spans="1:6" x14ac:dyDescent="0.2">
      <c r="A365" s="2">
        <v>341</v>
      </c>
      <c r="B365" s="2">
        <v>119723.86049014021</v>
      </c>
      <c r="C365" s="2">
        <v>24954.139509859786</v>
      </c>
      <c r="E365" s="2">
        <v>60.803571428571431</v>
      </c>
      <c r="F365" s="2">
        <v>280257</v>
      </c>
    </row>
    <row r="366" spans="1:6" x14ac:dyDescent="0.2">
      <c r="A366" s="2">
        <v>342</v>
      </c>
      <c r="B366" s="2">
        <v>54516.543215380385</v>
      </c>
      <c r="C366" s="2">
        <v>10273.456784619615</v>
      </c>
      <c r="E366" s="2">
        <v>60.982142857142861</v>
      </c>
      <c r="F366" s="2">
        <v>281284</v>
      </c>
    </row>
    <row r="367" spans="1:6" x14ac:dyDescent="0.2">
      <c r="A367" s="2">
        <v>343</v>
      </c>
      <c r="B367" s="2">
        <v>353810.80284166563</v>
      </c>
      <c r="C367" s="2">
        <v>89963.197158334369</v>
      </c>
      <c r="E367" s="2">
        <v>61.160714285714285</v>
      </c>
      <c r="F367" s="2">
        <v>282465</v>
      </c>
    </row>
    <row r="368" spans="1:6" x14ac:dyDescent="0.2">
      <c r="A368" s="2">
        <v>344</v>
      </c>
      <c r="B368" s="2">
        <v>356741.46878659871</v>
      </c>
      <c r="C368" s="2">
        <v>110219.53121340129</v>
      </c>
      <c r="E368" s="2">
        <v>61.339285714285715</v>
      </c>
      <c r="F368" s="2">
        <v>282995</v>
      </c>
    </row>
    <row r="369" spans="1:6" x14ac:dyDescent="0.2">
      <c r="A369" s="2">
        <v>345</v>
      </c>
      <c r="B369" s="2">
        <v>68803.539696928885</v>
      </c>
      <c r="C369" s="2">
        <v>-9301.539696928885</v>
      </c>
      <c r="E369" s="2">
        <v>61.517857142857146</v>
      </c>
      <c r="F369" s="2">
        <v>284412</v>
      </c>
    </row>
    <row r="370" spans="1:6" x14ac:dyDescent="0.2">
      <c r="A370" s="2">
        <v>346</v>
      </c>
      <c r="B370" s="2">
        <v>1138130.2763543667</v>
      </c>
      <c r="C370" s="2">
        <v>929406.72364563332</v>
      </c>
      <c r="E370" s="2">
        <v>61.696428571428577</v>
      </c>
      <c r="F370" s="2">
        <v>287613</v>
      </c>
    </row>
    <row r="371" spans="1:6" x14ac:dyDescent="0.2">
      <c r="A371" s="2">
        <v>347</v>
      </c>
      <c r="B371" s="2">
        <v>37665.214032015487</v>
      </c>
      <c r="C371" s="2">
        <v>-30706.214032015487</v>
      </c>
      <c r="E371" s="2">
        <v>61.875</v>
      </c>
      <c r="F371" s="2">
        <v>288447</v>
      </c>
    </row>
    <row r="372" spans="1:6" x14ac:dyDescent="0.2">
      <c r="A372" s="2">
        <v>348</v>
      </c>
      <c r="B372" s="2">
        <v>20813.884848650585</v>
      </c>
      <c r="C372" s="2">
        <v>1595.1151513494151</v>
      </c>
      <c r="E372" s="2">
        <v>62.053571428571431</v>
      </c>
      <c r="F372" s="2">
        <v>289795</v>
      </c>
    </row>
    <row r="373" spans="1:6" x14ac:dyDescent="0.2">
      <c r="A373" s="2">
        <v>349</v>
      </c>
      <c r="B373" s="2">
        <v>13853.553229434649</v>
      </c>
      <c r="C373" s="2">
        <v>-13852.553229434649</v>
      </c>
      <c r="E373" s="2">
        <v>62.232142857142861</v>
      </c>
      <c r="F373" s="2">
        <v>299661</v>
      </c>
    </row>
    <row r="374" spans="1:6" x14ac:dyDescent="0.2">
      <c r="A374" s="2">
        <v>350</v>
      </c>
      <c r="B374" s="2">
        <v>69536.206183162139</v>
      </c>
      <c r="C374" s="2">
        <v>37257.793816837861</v>
      </c>
      <c r="E374" s="2">
        <v>62.410714285714285</v>
      </c>
      <c r="F374" s="2">
        <v>300469</v>
      </c>
    </row>
    <row r="375" spans="1:6" x14ac:dyDescent="0.2">
      <c r="A375" s="2">
        <v>351</v>
      </c>
      <c r="B375" s="2">
        <v>142436.52156337118</v>
      </c>
      <c r="C375" s="2">
        <v>31266.478436628822</v>
      </c>
      <c r="E375" s="2">
        <v>62.589285714285715</v>
      </c>
      <c r="F375" s="2">
        <v>320696</v>
      </c>
    </row>
    <row r="376" spans="1:6" x14ac:dyDescent="0.2">
      <c r="A376" s="2">
        <v>352</v>
      </c>
      <c r="B376" s="2">
        <v>3059548.1365010822</v>
      </c>
      <c r="C376" s="2">
        <v>472019.86349891778</v>
      </c>
      <c r="E376" s="2">
        <v>62.767857142857146</v>
      </c>
      <c r="F376" s="2">
        <v>321934</v>
      </c>
    </row>
    <row r="377" spans="1:6" x14ac:dyDescent="0.2">
      <c r="A377" s="2">
        <v>353</v>
      </c>
      <c r="B377" s="2">
        <v>34368.214843965834</v>
      </c>
      <c r="C377" s="2">
        <v>-19615.214843965834</v>
      </c>
      <c r="E377" s="2">
        <v>62.946428571428577</v>
      </c>
      <c r="F377" s="2">
        <v>322429</v>
      </c>
    </row>
    <row r="378" spans="1:6" x14ac:dyDescent="0.2">
      <c r="A378" s="2">
        <v>354</v>
      </c>
      <c r="B378" s="2">
        <v>85288.535637177149</v>
      </c>
      <c r="C378" s="2">
        <v>-485.5356371771486</v>
      </c>
      <c r="E378" s="2">
        <v>63.125</v>
      </c>
      <c r="F378" s="2">
        <v>326247</v>
      </c>
    </row>
    <row r="379" spans="1:6" x14ac:dyDescent="0.2">
      <c r="A379" s="2">
        <v>355</v>
      </c>
      <c r="B379" s="2">
        <v>279445.15448899014</v>
      </c>
      <c r="C379" s="2">
        <v>-22123.154488990142</v>
      </c>
      <c r="E379" s="2">
        <v>63.303571428571431</v>
      </c>
      <c r="F379" s="2">
        <v>327183</v>
      </c>
    </row>
    <row r="380" spans="1:6" x14ac:dyDescent="0.2">
      <c r="A380" s="2">
        <v>356</v>
      </c>
      <c r="B380" s="2">
        <v>15318.886201901161</v>
      </c>
      <c r="C380" s="2">
        <v>-12733.886201901161</v>
      </c>
      <c r="E380" s="2">
        <v>63.482142857142861</v>
      </c>
      <c r="F380" s="2">
        <v>330353</v>
      </c>
    </row>
    <row r="381" spans="1:6" x14ac:dyDescent="0.2">
      <c r="A381" s="2">
        <v>357</v>
      </c>
      <c r="B381" s="2">
        <v>792678.02809538634</v>
      </c>
      <c r="C381" s="2">
        <v>133945.97190461366</v>
      </c>
      <c r="E381" s="2">
        <v>63.660714285714285</v>
      </c>
      <c r="F381" s="2">
        <v>334020</v>
      </c>
    </row>
    <row r="382" spans="1:6" x14ac:dyDescent="0.2">
      <c r="A382" s="2">
        <v>358</v>
      </c>
      <c r="B382" s="2">
        <v>206911.17235189772</v>
      </c>
      <c r="C382" s="2">
        <v>-143814.17235189772</v>
      </c>
      <c r="E382" s="2">
        <v>63.839285714285715</v>
      </c>
      <c r="F382" s="2">
        <v>359037</v>
      </c>
    </row>
    <row r="383" spans="1:6" x14ac:dyDescent="0.2">
      <c r="A383" s="2">
        <v>359</v>
      </c>
      <c r="B383" s="2">
        <v>81991.536449127496</v>
      </c>
      <c r="C383" s="2">
        <v>24733.463550872504</v>
      </c>
      <c r="E383" s="2">
        <v>64.017857142857139</v>
      </c>
      <c r="F383" s="2">
        <v>369006</v>
      </c>
    </row>
    <row r="384" spans="1:6" x14ac:dyDescent="0.2">
      <c r="A384" s="2">
        <v>360</v>
      </c>
      <c r="B384" s="2">
        <v>15685.21944501779</v>
      </c>
      <c r="C384" s="2">
        <v>-14230.21944501779</v>
      </c>
      <c r="E384" s="2">
        <v>64.196428571428569</v>
      </c>
      <c r="F384" s="2">
        <v>372095</v>
      </c>
    </row>
    <row r="385" spans="1:6" x14ac:dyDescent="0.2">
      <c r="A385" s="2">
        <v>361</v>
      </c>
      <c r="B385" s="2">
        <v>780955.36431565415</v>
      </c>
      <c r="C385" s="2">
        <v>250835.63568434585</v>
      </c>
      <c r="E385" s="2">
        <v>64.375</v>
      </c>
      <c r="F385" s="2">
        <v>377674</v>
      </c>
    </row>
    <row r="386" spans="1:6" x14ac:dyDescent="0.2">
      <c r="A386" s="2">
        <v>362</v>
      </c>
      <c r="B386" s="2">
        <v>2363148.6413363712</v>
      </c>
      <c r="C386" s="2">
        <v>-495435.64133637119</v>
      </c>
      <c r="E386" s="2">
        <v>64.553571428571431</v>
      </c>
      <c r="F386" s="2">
        <v>388109</v>
      </c>
    </row>
    <row r="387" spans="1:6" x14ac:dyDescent="0.2">
      <c r="A387" s="2">
        <v>363</v>
      </c>
      <c r="B387" s="2">
        <v>222663.50180591273</v>
      </c>
      <c r="C387" s="2">
        <v>300472.4981940873</v>
      </c>
      <c r="E387" s="2">
        <v>64.732142857142847</v>
      </c>
      <c r="F387" s="2">
        <v>398439</v>
      </c>
    </row>
    <row r="388" spans="1:6" x14ac:dyDescent="0.2">
      <c r="A388" s="2">
        <v>364</v>
      </c>
      <c r="B388" s="2">
        <v>70268.872669395394</v>
      </c>
      <c r="C388" s="2">
        <v>37947.127330604606</v>
      </c>
      <c r="E388" s="2">
        <v>64.910714285714278</v>
      </c>
      <c r="F388" s="2">
        <v>402347</v>
      </c>
    </row>
    <row r="389" spans="1:6" x14ac:dyDescent="0.2">
      <c r="A389" s="2">
        <v>365</v>
      </c>
      <c r="B389" s="2">
        <v>3062845.1356891319</v>
      </c>
      <c r="C389" s="2">
        <v>547901.86431086808</v>
      </c>
      <c r="E389" s="2">
        <v>65.089285714285708</v>
      </c>
      <c r="F389" s="2">
        <v>424676</v>
      </c>
    </row>
    <row r="390" spans="1:6" x14ac:dyDescent="0.2">
      <c r="A390" s="2">
        <v>366</v>
      </c>
      <c r="B390" s="2">
        <v>117892.19427455707</v>
      </c>
      <c r="C390" s="2">
        <v>17132.80572544293</v>
      </c>
      <c r="E390" s="2">
        <v>65.267857142857139</v>
      </c>
      <c r="F390" s="2">
        <v>427200</v>
      </c>
    </row>
    <row r="391" spans="1:6" x14ac:dyDescent="0.2">
      <c r="A391" s="2">
        <v>367</v>
      </c>
      <c r="B391" s="2">
        <v>195554.84181528224</v>
      </c>
      <c r="C391" s="2">
        <v>-18743.841815282241</v>
      </c>
      <c r="E391" s="2">
        <v>65.446428571428569</v>
      </c>
      <c r="F391" s="2">
        <v>443774</v>
      </c>
    </row>
    <row r="392" spans="1:6" x14ac:dyDescent="0.2">
      <c r="A392" s="2">
        <v>368</v>
      </c>
      <c r="B392" s="2">
        <v>3755214.9651795588</v>
      </c>
      <c r="C392" s="2">
        <v>1125144.0348204412</v>
      </c>
      <c r="E392" s="2">
        <v>65.625</v>
      </c>
      <c r="F392" s="2">
        <v>452202</v>
      </c>
    </row>
    <row r="393" spans="1:6" x14ac:dyDescent="0.2">
      <c r="A393" s="2">
        <v>369</v>
      </c>
      <c r="B393" s="2">
        <v>61476.874834596318</v>
      </c>
      <c r="C393" s="2">
        <v>-2424.8748345963177</v>
      </c>
      <c r="E393" s="2">
        <v>65.803571428571431</v>
      </c>
      <c r="F393" s="2">
        <v>452486</v>
      </c>
    </row>
    <row r="394" spans="1:6" x14ac:dyDescent="0.2">
      <c r="A394" s="2">
        <v>370</v>
      </c>
      <c r="B394" s="2">
        <v>2273030.663529681</v>
      </c>
      <c r="C394" s="2">
        <v>-1627070.663529681</v>
      </c>
      <c r="E394" s="2">
        <v>65.982142857142847</v>
      </c>
      <c r="F394" s="2">
        <v>456619</v>
      </c>
    </row>
    <row r="395" spans="1:6" x14ac:dyDescent="0.2">
      <c r="A395" s="2">
        <v>371</v>
      </c>
      <c r="B395" s="2">
        <v>135476.18994415522</v>
      </c>
      <c r="C395" s="2">
        <v>27673.810055844777</v>
      </c>
      <c r="E395" s="2">
        <v>66.160714285714278</v>
      </c>
      <c r="F395" s="2">
        <v>460787</v>
      </c>
    </row>
    <row r="396" spans="1:6" x14ac:dyDescent="0.2">
      <c r="A396" s="2">
        <v>372</v>
      </c>
      <c r="B396" s="2">
        <v>3999925.5715814661</v>
      </c>
      <c r="C396" s="2">
        <v>1286961.4284185339</v>
      </c>
      <c r="E396" s="2">
        <v>66.339285714285708</v>
      </c>
      <c r="F396" s="2">
        <v>463124</v>
      </c>
    </row>
    <row r="397" spans="1:6" x14ac:dyDescent="0.2">
      <c r="A397" s="2">
        <v>373</v>
      </c>
      <c r="B397" s="2">
        <v>15318.886201901161</v>
      </c>
      <c r="C397" s="2">
        <v>-14255.886201901161</v>
      </c>
      <c r="E397" s="2">
        <v>66.517857142857139</v>
      </c>
      <c r="F397" s="2">
        <v>465849</v>
      </c>
    </row>
    <row r="398" spans="1:6" x14ac:dyDescent="0.2">
      <c r="A398" s="2">
        <v>374</v>
      </c>
      <c r="B398" s="2">
        <v>2262773.3327224152</v>
      </c>
      <c r="C398" s="2">
        <v>-1618656.3327224152</v>
      </c>
      <c r="E398" s="2">
        <v>66.696428571428569</v>
      </c>
      <c r="F398" s="2">
        <v>466961</v>
      </c>
    </row>
    <row r="399" spans="1:6" x14ac:dyDescent="0.2">
      <c r="A399" s="2">
        <v>375</v>
      </c>
      <c r="B399" s="2">
        <v>27041.549981633267</v>
      </c>
      <c r="C399" s="2">
        <v>1626.4500183667333</v>
      </c>
      <c r="E399" s="2">
        <v>66.875</v>
      </c>
      <c r="F399" s="2">
        <v>477921</v>
      </c>
    </row>
    <row r="400" spans="1:6" x14ac:dyDescent="0.2">
      <c r="A400" s="2">
        <v>376</v>
      </c>
      <c r="B400" s="2">
        <v>335494.14068583422</v>
      </c>
      <c r="C400" s="2">
        <v>125292.85931416578</v>
      </c>
      <c r="E400" s="2">
        <v>67.053571428571431</v>
      </c>
      <c r="F400" s="2">
        <v>480382</v>
      </c>
    </row>
    <row r="401" spans="1:6" x14ac:dyDescent="0.2">
      <c r="A401" s="2">
        <v>377</v>
      </c>
      <c r="B401" s="2">
        <v>25942.550252283381</v>
      </c>
      <c r="C401" s="2">
        <v>-17171.550252283381</v>
      </c>
      <c r="E401" s="2">
        <v>67.232142857142847</v>
      </c>
      <c r="F401" s="2">
        <v>486542</v>
      </c>
    </row>
    <row r="402" spans="1:6" x14ac:dyDescent="0.2">
      <c r="A402" s="2">
        <v>378</v>
      </c>
      <c r="B402" s="2">
        <v>72100.538884978538</v>
      </c>
      <c r="C402" s="2">
        <v>95427.461115021462</v>
      </c>
      <c r="E402" s="2">
        <v>67.410714285714278</v>
      </c>
      <c r="F402" s="2">
        <v>488233</v>
      </c>
    </row>
    <row r="403" spans="1:6" x14ac:dyDescent="0.2">
      <c r="A403" s="2">
        <v>379</v>
      </c>
      <c r="B403" s="2">
        <v>2807144.5319937253</v>
      </c>
      <c r="C403" s="2">
        <v>2914361.4680062747</v>
      </c>
      <c r="E403" s="2">
        <v>67.589285714285708</v>
      </c>
      <c r="F403" s="2">
        <v>495749</v>
      </c>
    </row>
    <row r="404" spans="1:6" x14ac:dyDescent="0.2">
      <c r="A404" s="2">
        <v>380</v>
      </c>
      <c r="B404" s="2">
        <v>20081.218362417327</v>
      </c>
      <c r="C404" s="2">
        <v>-15640.218362417327</v>
      </c>
      <c r="E404" s="2">
        <v>67.767857142857139</v>
      </c>
      <c r="F404" s="2">
        <v>497012</v>
      </c>
    </row>
    <row r="405" spans="1:6" x14ac:dyDescent="0.2">
      <c r="A405" s="2">
        <v>381</v>
      </c>
      <c r="B405" s="2">
        <v>1001487.9766718644</v>
      </c>
      <c r="C405" s="2">
        <v>192951.0233281356</v>
      </c>
      <c r="E405" s="2">
        <v>67.946428571428569</v>
      </c>
      <c r="F405" s="2">
        <v>502401</v>
      </c>
    </row>
    <row r="406" spans="1:6" x14ac:dyDescent="0.2">
      <c r="A406" s="2">
        <v>382</v>
      </c>
      <c r="B406" s="2">
        <v>204713.17289319797</v>
      </c>
      <c r="C406" s="2">
        <v>-137346.17289319797</v>
      </c>
      <c r="E406" s="2">
        <v>68.125</v>
      </c>
      <c r="F406" s="2">
        <v>508517</v>
      </c>
    </row>
    <row r="407" spans="1:6" x14ac:dyDescent="0.2">
      <c r="A407" s="2">
        <v>383</v>
      </c>
      <c r="B407" s="2">
        <v>36932.547545782232</v>
      </c>
      <c r="C407" s="2">
        <v>-13718.547545782232</v>
      </c>
      <c r="E407" s="2">
        <v>68.303571428571431</v>
      </c>
      <c r="F407" s="2">
        <v>512483</v>
      </c>
    </row>
    <row r="408" spans="1:6" x14ac:dyDescent="0.2">
      <c r="A408" s="2">
        <v>384</v>
      </c>
      <c r="B408" s="2">
        <v>1286861.5730597179</v>
      </c>
      <c r="C408" s="2">
        <v>-927824.57305971789</v>
      </c>
      <c r="E408" s="2">
        <v>68.482142857142847</v>
      </c>
      <c r="F408" s="2">
        <v>523136</v>
      </c>
    </row>
    <row r="409" spans="1:6" x14ac:dyDescent="0.2">
      <c r="A409" s="2">
        <v>385</v>
      </c>
      <c r="B409" s="2">
        <v>2285485.9937956464</v>
      </c>
      <c r="C409" s="2">
        <v>-1635707.9937956464</v>
      </c>
      <c r="E409" s="2">
        <v>68.660714285714278</v>
      </c>
      <c r="F409" s="2">
        <v>524194</v>
      </c>
    </row>
    <row r="410" spans="1:6" x14ac:dyDescent="0.2">
      <c r="A410" s="2">
        <v>386</v>
      </c>
      <c r="B410" s="2">
        <v>67704.53996757901</v>
      </c>
      <c r="C410" s="2">
        <v>20124.46003242099</v>
      </c>
      <c r="E410" s="2">
        <v>68.839285714285708</v>
      </c>
      <c r="F410" s="2">
        <v>526125</v>
      </c>
    </row>
    <row r="411" spans="1:6" x14ac:dyDescent="0.2">
      <c r="A411" s="2">
        <v>387</v>
      </c>
      <c r="B411" s="2">
        <v>257465.15990199242</v>
      </c>
      <c r="C411" s="2">
        <v>30981.840098007582</v>
      </c>
      <c r="E411" s="2">
        <v>69.017857142857139</v>
      </c>
      <c r="F411" s="2">
        <v>538830</v>
      </c>
    </row>
    <row r="412" spans="1:6" x14ac:dyDescent="0.2">
      <c r="A412" s="2">
        <v>388</v>
      </c>
      <c r="B412" s="2">
        <v>153792.85209998663</v>
      </c>
      <c r="C412" s="2">
        <v>-111577.85209998663</v>
      </c>
      <c r="E412" s="2">
        <v>69.196428571428569</v>
      </c>
      <c r="F412" s="2">
        <v>548582</v>
      </c>
    </row>
    <row r="413" spans="1:6" x14ac:dyDescent="0.2">
      <c r="A413" s="2">
        <v>389</v>
      </c>
      <c r="B413" s="2">
        <v>51219.544027330732</v>
      </c>
      <c r="C413" s="2">
        <v>-3427.5440273307322</v>
      </c>
      <c r="E413" s="2">
        <v>69.375</v>
      </c>
      <c r="F413" s="2">
        <v>552907</v>
      </c>
    </row>
    <row r="414" spans="1:6" x14ac:dyDescent="0.2">
      <c r="A414" s="2">
        <v>390</v>
      </c>
      <c r="B414" s="2">
        <v>116426.86130209056</v>
      </c>
      <c r="C414" s="2">
        <v>-88013.861302090561</v>
      </c>
      <c r="E414" s="2">
        <v>69.553571428571431</v>
      </c>
      <c r="F414" s="2">
        <v>555995</v>
      </c>
    </row>
    <row r="415" spans="1:6" x14ac:dyDescent="0.2">
      <c r="A415" s="2">
        <v>391</v>
      </c>
      <c r="B415" s="2">
        <v>360404.80121776497</v>
      </c>
      <c r="C415" s="2">
        <v>-245601.80121776497</v>
      </c>
      <c r="E415" s="2">
        <v>69.732142857142847</v>
      </c>
      <c r="F415" s="2">
        <v>563175</v>
      </c>
    </row>
    <row r="416" spans="1:6" x14ac:dyDescent="0.2">
      <c r="A416" s="2">
        <v>392</v>
      </c>
      <c r="B416" s="2">
        <v>38397.880518248741</v>
      </c>
      <c r="C416" s="2">
        <v>-16905.880518248741</v>
      </c>
      <c r="E416" s="2">
        <v>69.910714285714278</v>
      </c>
      <c r="F416" s="2">
        <v>577345</v>
      </c>
    </row>
    <row r="417" spans="1:6" x14ac:dyDescent="0.2">
      <c r="A417" s="2">
        <v>393</v>
      </c>
      <c r="B417" s="2">
        <v>101773.53157742543</v>
      </c>
      <c r="C417" s="2">
        <v>-12383.531577425427</v>
      </c>
      <c r="E417" s="2">
        <v>70.089285714285708</v>
      </c>
      <c r="F417" s="2">
        <v>578774</v>
      </c>
    </row>
    <row r="418" spans="1:6" x14ac:dyDescent="0.2">
      <c r="A418" s="2">
        <v>394</v>
      </c>
      <c r="B418" s="2">
        <v>3351882.0645081513</v>
      </c>
      <c r="C418" s="2">
        <v>-2396905.0645081513</v>
      </c>
      <c r="E418" s="2">
        <v>70.267857142857139</v>
      </c>
      <c r="F418" s="2">
        <v>589126</v>
      </c>
    </row>
    <row r="419" spans="1:6" x14ac:dyDescent="0.2">
      <c r="A419" s="2">
        <v>395</v>
      </c>
      <c r="B419" s="2">
        <v>34001.881600849199</v>
      </c>
      <c r="C419" s="2">
        <v>-27650.881600849199</v>
      </c>
      <c r="E419" s="2">
        <v>70.446428571428569</v>
      </c>
      <c r="F419" s="2">
        <v>599726</v>
      </c>
    </row>
    <row r="420" spans="1:6" x14ac:dyDescent="0.2">
      <c r="A420" s="2">
        <v>396</v>
      </c>
      <c r="B420" s="2">
        <v>88951.868068343436</v>
      </c>
      <c r="C420" s="2">
        <v>15235.131931656564</v>
      </c>
      <c r="E420" s="2">
        <v>70.625</v>
      </c>
      <c r="F420" s="2">
        <v>601747</v>
      </c>
    </row>
    <row r="421" spans="1:6" x14ac:dyDescent="0.2">
      <c r="A421" s="2">
        <v>397</v>
      </c>
      <c r="B421" s="2">
        <v>70635.205912512029</v>
      </c>
      <c r="C421" s="2">
        <v>96346.794087487971</v>
      </c>
      <c r="E421" s="2">
        <v>70.803571428571431</v>
      </c>
      <c r="F421" s="2">
        <v>606461</v>
      </c>
    </row>
    <row r="422" spans="1:6" x14ac:dyDescent="0.2">
      <c r="A422" s="2">
        <v>398</v>
      </c>
      <c r="B422" s="2">
        <v>318642.81150246935</v>
      </c>
      <c r="C422" s="2">
        <v>183758.18849753065</v>
      </c>
      <c r="E422" s="2">
        <v>70.982142857142847</v>
      </c>
      <c r="F422" s="2">
        <v>608480</v>
      </c>
    </row>
    <row r="423" spans="1:6" x14ac:dyDescent="0.2">
      <c r="A423" s="2">
        <v>399</v>
      </c>
      <c r="B423" s="2">
        <v>87120.201852760292</v>
      </c>
      <c r="C423" s="2">
        <v>-6377.2018527602922</v>
      </c>
      <c r="E423" s="2">
        <v>71.160714285714278</v>
      </c>
      <c r="F423" s="2">
        <v>609145</v>
      </c>
    </row>
    <row r="424" spans="1:6" x14ac:dyDescent="0.2">
      <c r="A424" s="2">
        <v>400</v>
      </c>
      <c r="B424" s="2">
        <v>191158.84289788271</v>
      </c>
      <c r="C424" s="2">
        <v>46227.157102117286</v>
      </c>
      <c r="E424" s="2">
        <v>71.339285714285708</v>
      </c>
      <c r="F424" s="2">
        <v>637774</v>
      </c>
    </row>
    <row r="425" spans="1:6" x14ac:dyDescent="0.2">
      <c r="A425" s="2">
        <v>401</v>
      </c>
      <c r="B425" s="2">
        <v>201049.84046203169</v>
      </c>
      <c r="C425" s="2">
        <v>-3883.8404620316869</v>
      </c>
      <c r="E425" s="2">
        <v>71.517857142857139</v>
      </c>
      <c r="F425" s="2">
        <v>638352</v>
      </c>
    </row>
    <row r="426" spans="1:6" x14ac:dyDescent="0.2">
      <c r="A426" s="2">
        <v>402</v>
      </c>
      <c r="B426" s="2">
        <v>2254714.0013738498</v>
      </c>
      <c r="C426" s="2">
        <v>-1616362.0013738498</v>
      </c>
      <c r="E426" s="2">
        <v>71.696428571428569</v>
      </c>
      <c r="F426" s="2">
        <v>639688</v>
      </c>
    </row>
    <row r="427" spans="1:6" x14ac:dyDescent="0.2">
      <c r="A427" s="2">
        <v>403</v>
      </c>
      <c r="B427" s="2">
        <v>1646600.8178002466</v>
      </c>
      <c r="C427" s="2">
        <v>-223128.81780024664</v>
      </c>
      <c r="E427" s="2">
        <v>71.875</v>
      </c>
      <c r="F427" s="2">
        <v>640980</v>
      </c>
    </row>
    <row r="428" spans="1:6" x14ac:dyDescent="0.2">
      <c r="A428" s="2">
        <v>404</v>
      </c>
      <c r="B428" s="2">
        <v>689372.05353649717</v>
      </c>
      <c r="C428" s="2">
        <v>412938.94646350283</v>
      </c>
      <c r="E428" s="2">
        <v>72.053571428571431</v>
      </c>
      <c r="F428" s="2">
        <v>642798</v>
      </c>
    </row>
    <row r="429" spans="1:6" x14ac:dyDescent="0.2">
      <c r="A429" s="2">
        <v>405</v>
      </c>
      <c r="B429" s="2">
        <v>4752374.0529430211</v>
      </c>
      <c r="C429" s="2">
        <v>1282551.9470569789</v>
      </c>
      <c r="E429" s="2">
        <v>72.232142857142847</v>
      </c>
      <c r="F429" s="2">
        <v>643397</v>
      </c>
    </row>
    <row r="430" spans="1:6" x14ac:dyDescent="0.2">
      <c r="A430" s="2">
        <v>406</v>
      </c>
      <c r="B430" s="2">
        <v>998557.31072693132</v>
      </c>
      <c r="C430" s="2">
        <v>1177160.6892730687</v>
      </c>
      <c r="E430" s="2">
        <v>72.410714285714278</v>
      </c>
      <c r="F430" s="2">
        <v>644117</v>
      </c>
    </row>
    <row r="431" spans="1:6" x14ac:dyDescent="0.2">
      <c r="A431" s="2">
        <v>407</v>
      </c>
      <c r="B431" s="2">
        <v>37665.214032015487</v>
      </c>
      <c r="C431" s="2">
        <v>-31867.214032015487</v>
      </c>
      <c r="E431" s="2">
        <v>72.589285714285708</v>
      </c>
      <c r="F431" s="2">
        <v>644742</v>
      </c>
    </row>
    <row r="432" spans="1:6" x14ac:dyDescent="0.2">
      <c r="A432" s="2">
        <v>408</v>
      </c>
      <c r="B432" s="2">
        <v>356008.80230036541</v>
      </c>
      <c r="C432" s="2">
        <v>324995.19769963459</v>
      </c>
      <c r="E432" s="2">
        <v>72.767857142857139</v>
      </c>
      <c r="F432" s="2">
        <v>645960</v>
      </c>
    </row>
    <row r="433" spans="1:6" x14ac:dyDescent="0.2">
      <c r="A433" s="2">
        <v>409</v>
      </c>
      <c r="B433" s="2">
        <v>766302.034590989</v>
      </c>
      <c r="C433" s="2">
        <v>-42066.034590989002</v>
      </c>
      <c r="E433" s="2">
        <v>72.946428571428569</v>
      </c>
      <c r="F433" s="2">
        <v>646971</v>
      </c>
    </row>
    <row r="434" spans="1:6" x14ac:dyDescent="0.2">
      <c r="A434" s="2">
        <v>410</v>
      </c>
      <c r="B434" s="2">
        <v>787915.69593487016</v>
      </c>
      <c r="C434" s="2">
        <v>-567149.69593487016</v>
      </c>
      <c r="E434" s="2">
        <v>73.125</v>
      </c>
      <c r="F434" s="2">
        <v>649741</v>
      </c>
    </row>
    <row r="435" spans="1:6" x14ac:dyDescent="0.2">
      <c r="A435" s="2">
        <v>411</v>
      </c>
      <c r="B435" s="2">
        <v>27041.549981633267</v>
      </c>
      <c r="C435" s="2">
        <v>-5641.5499816332667</v>
      </c>
      <c r="E435" s="2">
        <v>73.303571428571431</v>
      </c>
      <c r="F435" s="2">
        <v>649771</v>
      </c>
    </row>
    <row r="436" spans="1:6" x14ac:dyDescent="0.2">
      <c r="A436" s="2">
        <v>412</v>
      </c>
      <c r="B436" s="2">
        <v>1721699.1326391555</v>
      </c>
      <c r="C436" s="2">
        <v>-1235157.1326391555</v>
      </c>
      <c r="E436" s="2">
        <v>73.482142857142847</v>
      </c>
      <c r="F436" s="2">
        <v>649778</v>
      </c>
    </row>
    <row r="437" spans="1:6" x14ac:dyDescent="0.2">
      <c r="A437" s="2">
        <v>413</v>
      </c>
      <c r="B437" s="2">
        <v>38764.213761365369</v>
      </c>
      <c r="C437" s="2">
        <v>-8475.2137613653686</v>
      </c>
      <c r="E437" s="2">
        <v>73.660714285714278</v>
      </c>
      <c r="F437" s="2">
        <v>650180</v>
      </c>
    </row>
    <row r="438" spans="1:6" x14ac:dyDescent="0.2">
      <c r="A438" s="2">
        <v>414</v>
      </c>
      <c r="B438" s="2">
        <v>3391446.0547647467</v>
      </c>
      <c r="C438" s="2">
        <v>1022954.9452352533</v>
      </c>
      <c r="E438" s="2">
        <v>73.839285714285708</v>
      </c>
      <c r="F438" s="2">
        <v>650317</v>
      </c>
    </row>
    <row r="439" spans="1:6" x14ac:dyDescent="0.2">
      <c r="A439" s="2">
        <v>415</v>
      </c>
      <c r="B439" s="2">
        <v>175406.51344386771</v>
      </c>
      <c r="C439" s="2">
        <v>72947.486556132295</v>
      </c>
      <c r="E439" s="2">
        <v>74.017857142857139</v>
      </c>
      <c r="F439" s="2">
        <v>652678</v>
      </c>
    </row>
    <row r="440" spans="1:6" x14ac:dyDescent="0.2">
      <c r="A440" s="2">
        <v>416</v>
      </c>
      <c r="B440" s="2">
        <v>1390167.5476186068</v>
      </c>
      <c r="C440" s="2">
        <v>-194435.54761860683</v>
      </c>
      <c r="E440" s="2">
        <v>74.196428571428569</v>
      </c>
      <c r="F440" s="2">
        <v>653494</v>
      </c>
    </row>
    <row r="441" spans="1:6" x14ac:dyDescent="0.2">
      <c r="A441" s="2">
        <v>417</v>
      </c>
      <c r="B441" s="2">
        <v>118991.19400390696</v>
      </c>
      <c r="C441" s="2">
        <v>24340.80599609304</v>
      </c>
      <c r="E441" s="2">
        <v>74.375</v>
      </c>
      <c r="F441" s="2">
        <v>675371</v>
      </c>
    </row>
    <row r="442" spans="1:6" x14ac:dyDescent="0.2">
      <c r="A442" s="2">
        <v>418</v>
      </c>
      <c r="B442" s="2">
        <v>24477.217279816869</v>
      </c>
      <c r="C442" s="2">
        <v>-13935.217279816869</v>
      </c>
      <c r="E442" s="2">
        <v>74.553571428571431</v>
      </c>
      <c r="F442" s="2">
        <v>681004</v>
      </c>
    </row>
    <row r="443" spans="1:6" x14ac:dyDescent="0.2">
      <c r="A443" s="2">
        <v>419</v>
      </c>
      <c r="B443" s="2">
        <v>353810.80284166563</v>
      </c>
      <c r="C443" s="2">
        <v>109313.19715833437</v>
      </c>
      <c r="E443" s="2">
        <v>74.732142857142847</v>
      </c>
      <c r="F443" s="2">
        <v>685838</v>
      </c>
    </row>
    <row r="444" spans="1:6" x14ac:dyDescent="0.2">
      <c r="A444" s="2">
        <v>420</v>
      </c>
      <c r="B444" s="2">
        <v>1475523.1932647813</v>
      </c>
      <c r="C444" s="2">
        <v>-919528.19326478126</v>
      </c>
      <c r="E444" s="2">
        <v>74.910714285714278</v>
      </c>
      <c r="F444" s="2">
        <v>724236</v>
      </c>
    </row>
    <row r="445" spans="1:6" x14ac:dyDescent="0.2">
      <c r="A445" s="2">
        <v>421</v>
      </c>
      <c r="B445" s="2">
        <v>51952.210513563987</v>
      </c>
      <c r="C445" s="2">
        <v>-3406.2105135639868</v>
      </c>
      <c r="E445" s="2">
        <v>75.089285714285708</v>
      </c>
      <c r="F445" s="2">
        <v>744960</v>
      </c>
    </row>
    <row r="446" spans="1:6" x14ac:dyDescent="0.2">
      <c r="A446" s="2">
        <v>422</v>
      </c>
      <c r="B446" s="2">
        <v>14952.552958784534</v>
      </c>
      <c r="C446" s="2">
        <v>-12891.552958784534</v>
      </c>
      <c r="E446" s="2">
        <v>75.267857142857139</v>
      </c>
      <c r="F446" s="2">
        <v>757469</v>
      </c>
    </row>
    <row r="447" spans="1:6" x14ac:dyDescent="0.2">
      <c r="A447" s="2">
        <v>423</v>
      </c>
      <c r="B447" s="2">
        <v>1753936.4580334187</v>
      </c>
      <c r="C447" s="2">
        <v>-1258187.4580334187</v>
      </c>
      <c r="E447" s="2">
        <v>75.446428571428569</v>
      </c>
      <c r="F447" s="2">
        <v>763826</v>
      </c>
    </row>
    <row r="448" spans="1:6" x14ac:dyDescent="0.2">
      <c r="A448" s="2">
        <v>424</v>
      </c>
      <c r="B448" s="2">
        <v>15250752.134179352</v>
      </c>
      <c r="C448" s="2">
        <v>-10997670.134179352</v>
      </c>
      <c r="E448" s="2">
        <v>75.625</v>
      </c>
      <c r="F448" s="2">
        <v>771645</v>
      </c>
    </row>
    <row r="449" spans="1:6" x14ac:dyDescent="0.2">
      <c r="A449" s="2">
        <v>425</v>
      </c>
      <c r="B449" s="2">
        <v>86387.535366527038</v>
      </c>
      <c r="C449" s="2">
        <v>-2978.5353665270377</v>
      </c>
      <c r="E449" s="2">
        <v>75.803571428571431</v>
      </c>
      <c r="F449" s="2">
        <v>776680</v>
      </c>
    </row>
    <row r="450" spans="1:6" x14ac:dyDescent="0.2">
      <c r="A450" s="2">
        <v>426</v>
      </c>
      <c r="B450" s="2">
        <v>72100.538884978538</v>
      </c>
      <c r="C450" s="2">
        <v>1050.4611150214623</v>
      </c>
      <c r="E450" s="2">
        <v>75.982142857142847</v>
      </c>
      <c r="F450" s="2">
        <v>776720</v>
      </c>
    </row>
    <row r="451" spans="1:6" x14ac:dyDescent="0.2">
      <c r="A451" s="2">
        <v>427</v>
      </c>
      <c r="B451" s="2">
        <v>356375.13554348203</v>
      </c>
      <c r="C451" s="2">
        <v>-258521.13554348203</v>
      </c>
      <c r="E451" s="2">
        <v>76.160714285714278</v>
      </c>
      <c r="F451" s="2">
        <v>776930</v>
      </c>
    </row>
    <row r="452" spans="1:6" x14ac:dyDescent="0.2">
      <c r="A452" s="2">
        <v>428</v>
      </c>
      <c r="B452" s="2">
        <v>33635.548357732572</v>
      </c>
      <c r="C452" s="2">
        <v>15995.451642267428</v>
      </c>
      <c r="E452" s="2">
        <v>76.339285714285708</v>
      </c>
      <c r="F452" s="2">
        <v>783180</v>
      </c>
    </row>
    <row r="453" spans="1:6" x14ac:dyDescent="0.2">
      <c r="A453" s="2">
        <v>429</v>
      </c>
      <c r="B453" s="2">
        <v>28873.216197216407</v>
      </c>
      <c r="C453" s="2">
        <v>-18084.216197216407</v>
      </c>
      <c r="E453" s="2">
        <v>76.517857142857139</v>
      </c>
      <c r="F453" s="2">
        <v>784901</v>
      </c>
    </row>
    <row r="454" spans="1:6" x14ac:dyDescent="0.2">
      <c r="A454" s="2">
        <v>430</v>
      </c>
      <c r="B454" s="2">
        <v>147565.18696700395</v>
      </c>
      <c r="C454" s="2">
        <v>46098.813032996055</v>
      </c>
      <c r="E454" s="2">
        <v>76.696428571428569</v>
      </c>
      <c r="F454" s="2">
        <v>792413</v>
      </c>
    </row>
    <row r="455" spans="1:6" x14ac:dyDescent="0.2">
      <c r="A455" s="2">
        <v>431</v>
      </c>
      <c r="B455" s="2">
        <v>6470110.6299168905</v>
      </c>
      <c r="C455" s="2">
        <v>-4641938.6299168905</v>
      </c>
      <c r="E455" s="2">
        <v>76.875</v>
      </c>
      <c r="F455" s="2">
        <v>794747</v>
      </c>
    </row>
    <row r="456" spans="1:6" x14ac:dyDescent="0.2">
      <c r="A456" s="2">
        <v>432</v>
      </c>
      <c r="B456" s="2">
        <v>2659878.5682608401</v>
      </c>
      <c r="C456" s="2">
        <v>-1902409.5682608401</v>
      </c>
      <c r="E456" s="2">
        <v>77.053571428571431</v>
      </c>
      <c r="F456" s="2">
        <v>806803</v>
      </c>
    </row>
    <row r="457" spans="1:6" x14ac:dyDescent="0.2">
      <c r="A457" s="2">
        <v>433</v>
      </c>
      <c r="B457" s="2">
        <v>22279.217821117098</v>
      </c>
      <c r="C457" s="2">
        <v>-11238.217821117098</v>
      </c>
      <c r="E457" s="2">
        <v>77.232142857142847</v>
      </c>
      <c r="F457" s="2">
        <v>907794</v>
      </c>
    </row>
    <row r="458" spans="1:6" x14ac:dyDescent="0.2">
      <c r="A458" s="2">
        <v>434</v>
      </c>
      <c r="B458" s="2">
        <v>92615.200499509723</v>
      </c>
      <c r="C458" s="2">
        <v>802.79950049027684</v>
      </c>
      <c r="E458" s="2">
        <v>77.410714285714278</v>
      </c>
      <c r="F458" s="2">
        <v>926624</v>
      </c>
    </row>
    <row r="459" spans="1:6" x14ac:dyDescent="0.2">
      <c r="A459" s="2">
        <v>435</v>
      </c>
      <c r="B459" s="2">
        <v>82357.86969224413</v>
      </c>
      <c r="C459" s="2">
        <v>49266.13030775587</v>
      </c>
      <c r="E459" s="2">
        <v>77.589285714285708</v>
      </c>
      <c r="F459" s="2">
        <v>936465</v>
      </c>
    </row>
    <row r="460" spans="1:6" x14ac:dyDescent="0.2">
      <c r="A460" s="2">
        <v>436</v>
      </c>
      <c r="B460" s="2">
        <v>67338.206724462361</v>
      </c>
      <c r="C460" s="2">
        <v>14118.793275537639</v>
      </c>
      <c r="E460" s="2">
        <v>77.767857142857139</v>
      </c>
      <c r="F460" s="2">
        <v>950949</v>
      </c>
    </row>
    <row r="461" spans="1:6" x14ac:dyDescent="0.2">
      <c r="A461" s="2">
        <v>437</v>
      </c>
      <c r="B461" s="2">
        <v>60011.541862129809</v>
      </c>
      <c r="C461" s="2">
        <v>-389.54186212980858</v>
      </c>
      <c r="E461" s="2">
        <v>77.946428571428569</v>
      </c>
      <c r="F461" s="2">
        <v>951631</v>
      </c>
    </row>
    <row r="462" spans="1:6" x14ac:dyDescent="0.2">
      <c r="A462" s="2">
        <v>438</v>
      </c>
      <c r="B462" s="2">
        <v>5966036.0873884102</v>
      </c>
      <c r="C462" s="2">
        <v>-4278735.0873884102</v>
      </c>
      <c r="E462" s="2">
        <v>78.125</v>
      </c>
      <c r="F462" s="2">
        <v>954977</v>
      </c>
    </row>
    <row r="463" spans="1:6" x14ac:dyDescent="0.2">
      <c r="A463" s="2">
        <v>439</v>
      </c>
      <c r="B463" s="2">
        <v>123753.52616442312</v>
      </c>
      <c r="C463" s="2">
        <v>135652.47383557688</v>
      </c>
      <c r="E463" s="2">
        <v>78.303571428571431</v>
      </c>
      <c r="F463" s="2">
        <v>957067</v>
      </c>
    </row>
    <row r="464" spans="1:6" x14ac:dyDescent="0.2">
      <c r="A464" s="2">
        <v>440</v>
      </c>
      <c r="B464" s="2">
        <v>13853.553229434649</v>
      </c>
      <c r="C464" s="2">
        <v>-13606.553229434649</v>
      </c>
      <c r="E464" s="2">
        <v>78.482142857142847</v>
      </c>
      <c r="F464" s="2">
        <v>959695</v>
      </c>
    </row>
    <row r="465" spans="1:6" x14ac:dyDescent="0.2">
      <c r="A465" s="2">
        <v>441</v>
      </c>
      <c r="B465" s="2">
        <v>119357.52724702358</v>
      </c>
      <c r="C465" s="2">
        <v>24707.47275297642</v>
      </c>
      <c r="E465" s="2">
        <v>78.660714285714278</v>
      </c>
      <c r="F465" s="2">
        <v>990344</v>
      </c>
    </row>
    <row r="466" spans="1:6" x14ac:dyDescent="0.2">
      <c r="A466" s="2">
        <v>442</v>
      </c>
      <c r="B466" s="2">
        <v>71734.205641861918</v>
      </c>
      <c r="C466" s="2">
        <v>14540.794358138082</v>
      </c>
      <c r="E466" s="2">
        <v>78.839285714285708</v>
      </c>
      <c r="F466" s="2">
        <v>1018289</v>
      </c>
    </row>
    <row r="467" spans="1:6" x14ac:dyDescent="0.2">
      <c r="A467" s="2">
        <v>443</v>
      </c>
      <c r="B467" s="2">
        <v>354909.80257101555</v>
      </c>
      <c r="C467" s="2">
        <v>-257385.80257101555</v>
      </c>
      <c r="E467" s="2">
        <v>79.017857142857139</v>
      </c>
      <c r="F467" s="2">
        <v>1025324</v>
      </c>
    </row>
    <row r="468" spans="1:6" x14ac:dyDescent="0.2">
      <c r="A468" s="2">
        <v>444</v>
      </c>
      <c r="B468" s="2">
        <v>59278.875375896547</v>
      </c>
      <c r="C468" s="2">
        <v>5546.1246241034532</v>
      </c>
      <c r="E468" s="2">
        <v>79.196428571428569</v>
      </c>
      <c r="F468" s="2">
        <v>1025953</v>
      </c>
    </row>
    <row r="469" spans="1:6" x14ac:dyDescent="0.2">
      <c r="A469" s="2">
        <v>445</v>
      </c>
      <c r="B469" s="2">
        <v>41328.546463181767</v>
      </c>
      <c r="C469" s="2">
        <v>-23915.546463181767</v>
      </c>
      <c r="E469" s="2">
        <v>79.375</v>
      </c>
      <c r="F469" s="2">
        <v>1029122</v>
      </c>
    </row>
    <row r="470" spans="1:6" x14ac:dyDescent="0.2">
      <c r="A470" s="2">
        <v>446</v>
      </c>
      <c r="B470" s="2">
        <v>16051.552688134418</v>
      </c>
      <c r="C470" s="2">
        <v>-14454.552688134418</v>
      </c>
      <c r="E470" s="2">
        <v>79.553571428571431</v>
      </c>
      <c r="F470" s="2">
        <v>1031791</v>
      </c>
    </row>
    <row r="471" spans="1:6" x14ac:dyDescent="0.2">
      <c r="A471" s="2">
        <v>447</v>
      </c>
      <c r="B471" s="2">
        <v>380186.79634606291</v>
      </c>
      <c r="C471" s="2">
        <v>-97191.796346062911</v>
      </c>
      <c r="E471" s="2">
        <v>79.732142857142847</v>
      </c>
      <c r="F471" s="2">
        <v>1043530</v>
      </c>
    </row>
    <row r="472" spans="1:6" x14ac:dyDescent="0.2">
      <c r="A472" s="2">
        <v>448</v>
      </c>
      <c r="B472" s="2">
        <v>2211853.0119292038</v>
      </c>
      <c r="C472" s="2">
        <v>3690932.9880707962</v>
      </c>
      <c r="E472" s="2">
        <v>79.910714285714278</v>
      </c>
      <c r="F472" s="2">
        <v>1064823</v>
      </c>
    </row>
    <row r="473" spans="1:6" x14ac:dyDescent="0.2">
      <c r="A473" s="2">
        <v>449</v>
      </c>
      <c r="B473" s="2">
        <v>617204.4046425214</v>
      </c>
      <c r="C473" s="2">
        <v>-8724.4046425214037</v>
      </c>
      <c r="E473" s="2">
        <v>80.089285714285708</v>
      </c>
      <c r="F473" s="2">
        <v>1065452</v>
      </c>
    </row>
    <row r="474" spans="1:6" x14ac:dyDescent="0.2">
      <c r="A474" s="2">
        <v>450</v>
      </c>
      <c r="B474" s="2">
        <v>42061.212949415021</v>
      </c>
      <c r="C474" s="2">
        <v>-23944.212949415021</v>
      </c>
      <c r="E474" s="2">
        <v>80.267857142857139</v>
      </c>
      <c r="F474" s="2">
        <v>1089827</v>
      </c>
    </row>
    <row r="475" spans="1:6" x14ac:dyDescent="0.2">
      <c r="A475" s="2">
        <v>451</v>
      </c>
      <c r="B475" s="2">
        <v>146832.52048077071</v>
      </c>
      <c r="C475" s="2">
        <v>2534.479519229295</v>
      </c>
      <c r="E475" s="2">
        <v>80.446428571428569</v>
      </c>
      <c r="F475" s="2">
        <v>1101225</v>
      </c>
    </row>
    <row r="476" spans="1:6" x14ac:dyDescent="0.2">
      <c r="A476" s="2">
        <v>452</v>
      </c>
      <c r="B476" s="2">
        <v>88219.201582110181</v>
      </c>
      <c r="C476" s="2">
        <v>58697.798417889819</v>
      </c>
      <c r="E476" s="2">
        <v>80.625</v>
      </c>
      <c r="F476" s="2">
        <v>1102311</v>
      </c>
    </row>
    <row r="477" spans="1:6" x14ac:dyDescent="0.2">
      <c r="A477" s="2">
        <v>453</v>
      </c>
      <c r="B477" s="2">
        <v>118991.19400390696</v>
      </c>
      <c r="C477" s="2">
        <v>86072.80599609304</v>
      </c>
      <c r="E477" s="2">
        <v>80.803571428571431</v>
      </c>
      <c r="F477" s="2">
        <v>1121298</v>
      </c>
    </row>
    <row r="478" spans="1:6" x14ac:dyDescent="0.2">
      <c r="A478" s="2">
        <v>454</v>
      </c>
      <c r="B478" s="2">
        <v>22279.217821117098</v>
      </c>
      <c r="C478" s="2">
        <v>-16186.217821117098</v>
      </c>
      <c r="E478" s="2">
        <v>80.982142857142847</v>
      </c>
      <c r="F478" s="2">
        <v>1154903</v>
      </c>
    </row>
    <row r="479" spans="1:6" x14ac:dyDescent="0.2">
      <c r="A479" s="2">
        <v>455</v>
      </c>
      <c r="B479" s="2">
        <v>133278.19048545545</v>
      </c>
      <c r="C479" s="2">
        <v>58068.809514544555</v>
      </c>
      <c r="E479" s="2">
        <v>81.160714285714278</v>
      </c>
      <c r="F479" s="2">
        <v>1174983</v>
      </c>
    </row>
    <row r="480" spans="1:6" x14ac:dyDescent="0.2">
      <c r="A480" s="2">
        <v>456</v>
      </c>
      <c r="B480" s="2">
        <v>192990.50911346584</v>
      </c>
      <c r="C480" s="2">
        <v>-134475.50911346584</v>
      </c>
      <c r="E480" s="2">
        <v>81.339285714285708</v>
      </c>
      <c r="F480" s="2">
        <v>1175396</v>
      </c>
    </row>
    <row r="481" spans="1:6" x14ac:dyDescent="0.2">
      <c r="A481" s="2">
        <v>457</v>
      </c>
      <c r="B481" s="2">
        <v>3897718.5967519274</v>
      </c>
      <c r="C481" s="2">
        <v>1968666.4032480726</v>
      </c>
      <c r="E481" s="2">
        <v>81.517857142857139</v>
      </c>
      <c r="F481" s="2">
        <v>1185651</v>
      </c>
    </row>
    <row r="482" spans="1:6" x14ac:dyDescent="0.2">
      <c r="A482" s="2">
        <v>458</v>
      </c>
      <c r="B482" s="2">
        <v>198119.17451709864</v>
      </c>
      <c r="C482" s="2">
        <v>82137.82548290136</v>
      </c>
      <c r="E482" s="2">
        <v>81.696428571428569</v>
      </c>
      <c r="F482" s="2">
        <v>1190775</v>
      </c>
    </row>
    <row r="483" spans="1:6" x14ac:dyDescent="0.2">
      <c r="A483" s="2">
        <v>459</v>
      </c>
      <c r="B483" s="2">
        <v>3043429.4738039505</v>
      </c>
      <c r="C483" s="2">
        <v>2288404.5261960495</v>
      </c>
      <c r="E483" s="2">
        <v>81.875</v>
      </c>
      <c r="F483" s="2">
        <v>1194439</v>
      </c>
    </row>
    <row r="484" spans="1:6" x14ac:dyDescent="0.2">
      <c r="A484" s="2">
        <v>460</v>
      </c>
      <c r="B484" s="2">
        <v>94080.533471976232</v>
      </c>
      <c r="C484" s="2">
        <v>54094.466528023768</v>
      </c>
      <c r="E484" s="2">
        <v>82.053571428571431</v>
      </c>
      <c r="F484" s="2">
        <v>1195732</v>
      </c>
    </row>
    <row r="485" spans="1:6" x14ac:dyDescent="0.2">
      <c r="A485" s="2">
        <v>461</v>
      </c>
      <c r="B485" s="2">
        <v>903310.66751660802</v>
      </c>
      <c r="C485" s="2">
        <v>460457.33248339198</v>
      </c>
      <c r="E485" s="2">
        <v>82.232142857142847</v>
      </c>
      <c r="F485" s="2">
        <v>1209373</v>
      </c>
    </row>
    <row r="486" spans="1:6" x14ac:dyDescent="0.2">
      <c r="A486" s="2">
        <v>462</v>
      </c>
      <c r="B486" s="2">
        <v>13853.553229434649</v>
      </c>
      <c r="C486" s="2">
        <v>-13785.553229434649</v>
      </c>
      <c r="E486" s="2">
        <v>82.410714285714278</v>
      </c>
      <c r="F486" s="2">
        <v>1211779</v>
      </c>
    </row>
    <row r="487" spans="1:6" x14ac:dyDescent="0.2">
      <c r="A487" s="2">
        <v>463</v>
      </c>
      <c r="B487" s="2">
        <v>936280.65939710452</v>
      </c>
      <c r="C487" s="2">
        <v>153546.34060289548</v>
      </c>
      <c r="E487" s="2">
        <v>82.589285714285708</v>
      </c>
      <c r="F487" s="2">
        <v>1296931</v>
      </c>
    </row>
    <row r="488" spans="1:6" x14ac:dyDescent="0.2">
      <c r="A488" s="2">
        <v>464</v>
      </c>
      <c r="B488" s="2">
        <v>596323.4097848736</v>
      </c>
      <c r="C488" s="2">
        <v>180396.5902151264</v>
      </c>
      <c r="E488" s="2">
        <v>82.767857142857139</v>
      </c>
      <c r="F488" s="2">
        <v>1363768</v>
      </c>
    </row>
    <row r="489" spans="1:6" x14ac:dyDescent="0.2">
      <c r="A489" s="2">
        <v>465</v>
      </c>
      <c r="B489" s="2">
        <v>2294644.324873562</v>
      </c>
      <c r="C489" s="2">
        <v>-1641966.324873562</v>
      </c>
      <c r="E489" s="2">
        <v>82.946428571428569</v>
      </c>
      <c r="F489" s="2">
        <v>1414417</v>
      </c>
    </row>
    <row r="490" spans="1:6" x14ac:dyDescent="0.2">
      <c r="A490" s="2">
        <v>466</v>
      </c>
      <c r="B490" s="2">
        <v>67338.206724462361</v>
      </c>
      <c r="C490" s="2">
        <v>-51570.206724462361</v>
      </c>
      <c r="E490" s="2">
        <v>83.125</v>
      </c>
      <c r="F490" s="2">
        <v>1423438</v>
      </c>
    </row>
    <row r="491" spans="1:6" x14ac:dyDescent="0.2">
      <c r="A491" s="2">
        <v>467</v>
      </c>
      <c r="B491" s="2">
        <v>678382.05624299822</v>
      </c>
      <c r="C491" s="2">
        <v>745055.94375700178</v>
      </c>
      <c r="E491" s="2">
        <v>83.303571428571431</v>
      </c>
      <c r="F491" s="2">
        <v>1423472</v>
      </c>
    </row>
    <row r="492" spans="1:6" x14ac:dyDescent="0.2">
      <c r="A492" s="2">
        <v>468</v>
      </c>
      <c r="B492" s="2">
        <v>14586.219715667905</v>
      </c>
      <c r="C492" s="2">
        <v>-13941.219715667905</v>
      </c>
      <c r="E492" s="2">
        <v>83.482142857142847</v>
      </c>
      <c r="F492" s="2">
        <v>1438134</v>
      </c>
    </row>
    <row r="493" spans="1:6" x14ac:dyDescent="0.2">
      <c r="A493" s="2">
        <v>469</v>
      </c>
      <c r="B493" s="2">
        <v>1224584.9217298909</v>
      </c>
      <c r="C493" s="2">
        <v>398787.07827010914</v>
      </c>
      <c r="E493" s="2">
        <v>83.660714285714278</v>
      </c>
      <c r="F493" s="2">
        <v>1442405</v>
      </c>
    </row>
    <row r="494" spans="1:6" x14ac:dyDescent="0.2">
      <c r="A494" s="2">
        <v>470</v>
      </c>
      <c r="B494" s="2">
        <v>15318.886201901161</v>
      </c>
      <c r="C494" s="2">
        <v>-14873.886201901161</v>
      </c>
      <c r="E494" s="2">
        <v>83.839285714285708</v>
      </c>
      <c r="F494" s="2">
        <v>1447769</v>
      </c>
    </row>
    <row r="495" spans="1:6" x14ac:dyDescent="0.2">
      <c r="A495" s="2">
        <v>471</v>
      </c>
      <c r="B495" s="2">
        <v>111664.52914157438</v>
      </c>
      <c r="C495" s="2">
        <v>76143.470858425615</v>
      </c>
      <c r="E495" s="2">
        <v>84.017857142857139</v>
      </c>
      <c r="F495" s="2">
        <v>1478306</v>
      </c>
    </row>
    <row r="496" spans="1:6" x14ac:dyDescent="0.2">
      <c r="A496" s="2">
        <v>472</v>
      </c>
      <c r="B496" s="2">
        <v>621600.40355992084</v>
      </c>
      <c r="C496" s="2">
        <v>150044.59644007916</v>
      </c>
      <c r="E496" s="2">
        <v>84.196428571428569</v>
      </c>
      <c r="F496" s="2">
        <v>1531835</v>
      </c>
    </row>
    <row r="497" spans="1:6" x14ac:dyDescent="0.2">
      <c r="A497" s="2">
        <v>473</v>
      </c>
      <c r="B497" s="2">
        <v>17765629.848175008</v>
      </c>
      <c r="C497" s="2">
        <v>23732364.151824992</v>
      </c>
      <c r="E497" s="2">
        <v>84.375</v>
      </c>
      <c r="F497" s="2">
        <v>1577071</v>
      </c>
    </row>
    <row r="498" spans="1:6" x14ac:dyDescent="0.2">
      <c r="A498" s="2">
        <v>474</v>
      </c>
      <c r="B498" s="2">
        <v>25942.550252283381</v>
      </c>
      <c r="C498" s="2">
        <v>-10414.550252283381</v>
      </c>
      <c r="E498" s="2">
        <v>84.553571428571431</v>
      </c>
      <c r="F498" s="2">
        <v>1609764</v>
      </c>
    </row>
    <row r="499" spans="1:6" x14ac:dyDescent="0.2">
      <c r="A499" s="2">
        <v>475</v>
      </c>
      <c r="B499" s="2">
        <v>53783.876729147123</v>
      </c>
      <c r="C499" s="2">
        <v>922.12327085287689</v>
      </c>
      <c r="E499" s="2">
        <v>84.732142857142847</v>
      </c>
      <c r="F499" s="2">
        <v>1617205</v>
      </c>
    </row>
    <row r="500" spans="1:6" x14ac:dyDescent="0.2">
      <c r="A500" s="2">
        <v>476</v>
      </c>
      <c r="B500" s="2">
        <v>199950.8407326818</v>
      </c>
      <c r="C500" s="2">
        <v>-138258.8407326818</v>
      </c>
      <c r="E500" s="2">
        <v>84.910714285714278</v>
      </c>
      <c r="F500" s="2">
        <v>1623372</v>
      </c>
    </row>
    <row r="501" spans="1:6" x14ac:dyDescent="0.2">
      <c r="A501" s="2">
        <v>477</v>
      </c>
      <c r="B501" s="2">
        <v>42793.879435648283</v>
      </c>
      <c r="C501" s="2">
        <v>1740.1205643517169</v>
      </c>
      <c r="E501" s="2">
        <v>85.089285714285708</v>
      </c>
      <c r="F501" s="2">
        <v>1645255</v>
      </c>
    </row>
    <row r="502" spans="1:6" x14ac:dyDescent="0.2">
      <c r="A502" s="2">
        <v>478</v>
      </c>
      <c r="B502" s="2">
        <v>46090.878623697936</v>
      </c>
      <c r="C502" s="2">
        <v>8783.1213763020642</v>
      </c>
      <c r="E502" s="2">
        <v>85.267857142857139</v>
      </c>
      <c r="F502" s="2">
        <v>1647552</v>
      </c>
    </row>
    <row r="503" spans="1:6" x14ac:dyDescent="0.2">
      <c r="A503" s="2">
        <v>479</v>
      </c>
      <c r="B503" s="2">
        <v>17776253.512225389</v>
      </c>
      <c r="C503" s="2">
        <v>1516300.4877746105</v>
      </c>
      <c r="E503" s="2">
        <v>85.446428571428569</v>
      </c>
      <c r="F503" s="2">
        <v>1649468</v>
      </c>
    </row>
    <row r="504" spans="1:6" x14ac:dyDescent="0.2">
      <c r="A504" s="2">
        <v>480</v>
      </c>
      <c r="B504" s="2">
        <v>4043519.2275123456</v>
      </c>
      <c r="C504" s="2">
        <v>-1953026.2275123456</v>
      </c>
      <c r="E504" s="2">
        <v>85.625</v>
      </c>
      <c r="F504" s="2">
        <v>1661369</v>
      </c>
    </row>
    <row r="505" spans="1:6" x14ac:dyDescent="0.2">
      <c r="A505" s="2">
        <v>481</v>
      </c>
      <c r="B505" s="2">
        <v>19348.551876184072</v>
      </c>
      <c r="C505" s="2">
        <v>-2827.5518761840722</v>
      </c>
      <c r="E505" s="2">
        <v>85.803571428571431</v>
      </c>
      <c r="F505" s="2">
        <v>1681141</v>
      </c>
    </row>
    <row r="506" spans="1:6" x14ac:dyDescent="0.2">
      <c r="A506" s="2">
        <v>482</v>
      </c>
      <c r="B506" s="2">
        <v>64773.87402264597</v>
      </c>
      <c r="C506" s="2">
        <v>-1435.8740226459704</v>
      </c>
      <c r="E506" s="2">
        <v>85.982142857142847</v>
      </c>
      <c r="F506" s="2">
        <v>1687301</v>
      </c>
    </row>
    <row r="507" spans="1:6" x14ac:dyDescent="0.2">
      <c r="A507" s="2">
        <v>483</v>
      </c>
      <c r="B507" s="2">
        <v>14219.886472551278</v>
      </c>
      <c r="C507" s="2">
        <v>-13935.886472551278</v>
      </c>
      <c r="E507" s="2">
        <v>86.160714285714278</v>
      </c>
      <c r="F507" s="2">
        <v>1712451</v>
      </c>
    </row>
    <row r="508" spans="1:6" x14ac:dyDescent="0.2">
      <c r="A508" s="2">
        <v>484</v>
      </c>
      <c r="B508" s="2">
        <v>102506.19806365868</v>
      </c>
      <c r="C508" s="2">
        <v>-34486.198063658681</v>
      </c>
      <c r="E508" s="2">
        <v>86.339285714285708</v>
      </c>
      <c r="F508" s="2">
        <v>1734889</v>
      </c>
    </row>
    <row r="509" spans="1:6" x14ac:dyDescent="0.2">
      <c r="A509" s="2">
        <v>485</v>
      </c>
      <c r="B509" s="2">
        <v>236950.49828746123</v>
      </c>
      <c r="C509" s="2">
        <v>85478.501712538768</v>
      </c>
      <c r="E509" s="2">
        <v>86.517857142857139</v>
      </c>
      <c r="F509" s="2">
        <v>1795623</v>
      </c>
    </row>
    <row r="510" spans="1:6" x14ac:dyDescent="0.2">
      <c r="A510" s="2">
        <v>486</v>
      </c>
      <c r="B510" s="2">
        <v>102139.86482054206</v>
      </c>
      <c r="C510" s="2">
        <v>4855.1351794579386</v>
      </c>
      <c r="E510" s="2">
        <v>86.696428571428569</v>
      </c>
      <c r="F510" s="2">
        <v>1811479</v>
      </c>
    </row>
    <row r="511" spans="1:6" x14ac:dyDescent="0.2">
      <c r="A511" s="2">
        <v>487</v>
      </c>
      <c r="B511" s="2">
        <v>8968137.0147291776</v>
      </c>
      <c r="C511" s="2">
        <v>-6468874.0147291776</v>
      </c>
      <c r="E511" s="2">
        <v>86.875</v>
      </c>
      <c r="F511" s="2">
        <v>1828172</v>
      </c>
    </row>
    <row r="512" spans="1:6" x14ac:dyDescent="0.2">
      <c r="A512" s="2">
        <v>488</v>
      </c>
      <c r="B512" s="2">
        <v>44259.212408114792</v>
      </c>
      <c r="C512" s="2">
        <v>7205.7875918852078</v>
      </c>
      <c r="E512" s="2">
        <v>87.053571428571431</v>
      </c>
      <c r="F512" s="2">
        <v>1867713</v>
      </c>
    </row>
    <row r="513" spans="1:6" x14ac:dyDescent="0.2">
      <c r="A513" s="2">
        <v>489</v>
      </c>
      <c r="B513" s="2">
        <v>15251118.467422469</v>
      </c>
      <c r="C513" s="2">
        <v>1489733.5325775314</v>
      </c>
      <c r="E513" s="2">
        <v>87.232142857142847</v>
      </c>
      <c r="F513" s="2">
        <v>1976054</v>
      </c>
    </row>
    <row r="514" spans="1:6" x14ac:dyDescent="0.2">
      <c r="A514" s="2">
        <v>490</v>
      </c>
      <c r="B514" s="2">
        <v>3472405.7014935222</v>
      </c>
      <c r="C514" s="2">
        <v>-2482061.7014935222</v>
      </c>
      <c r="E514" s="2">
        <v>87.410714285714278</v>
      </c>
      <c r="F514" s="2">
        <v>2027986</v>
      </c>
    </row>
    <row r="515" spans="1:6" x14ac:dyDescent="0.2">
      <c r="A515" s="2">
        <v>491</v>
      </c>
      <c r="B515" s="2">
        <v>198119.17451709864</v>
      </c>
      <c r="C515" s="2">
        <v>-27535.17451709864</v>
      </c>
      <c r="E515" s="2">
        <v>87.589285714285708</v>
      </c>
      <c r="F515" s="2">
        <v>2067537</v>
      </c>
    </row>
    <row r="516" spans="1:6" x14ac:dyDescent="0.2">
      <c r="A516" s="2">
        <v>492</v>
      </c>
      <c r="B516" s="2">
        <v>190059.84316853283</v>
      </c>
      <c r="C516" s="2">
        <v>-6541.8431685328251</v>
      </c>
      <c r="E516" s="2">
        <v>87.767857142857139</v>
      </c>
      <c r="F516" s="2">
        <v>2088155</v>
      </c>
    </row>
    <row r="517" spans="1:6" x14ac:dyDescent="0.2">
      <c r="A517" s="2">
        <v>493</v>
      </c>
      <c r="B517" s="2">
        <v>183832.17803555014</v>
      </c>
      <c r="C517" s="2">
        <v>11154.82196444986</v>
      </c>
      <c r="E517" s="2">
        <v>87.946428571428569</v>
      </c>
      <c r="F517" s="2">
        <v>2090493</v>
      </c>
    </row>
    <row r="518" spans="1:6" x14ac:dyDescent="0.2">
      <c r="A518" s="2">
        <v>494</v>
      </c>
      <c r="B518" s="2">
        <v>1797896.4472074141</v>
      </c>
      <c r="C518" s="2">
        <v>-188132.44720741408</v>
      </c>
      <c r="E518" s="2">
        <v>88.125</v>
      </c>
      <c r="F518" s="2">
        <v>2096106</v>
      </c>
    </row>
    <row r="519" spans="1:6" x14ac:dyDescent="0.2">
      <c r="A519" s="2">
        <v>495</v>
      </c>
      <c r="B519" s="2">
        <v>3521494.3560711499</v>
      </c>
      <c r="C519" s="2">
        <v>-600974.35607114993</v>
      </c>
      <c r="E519" s="2">
        <v>88.303571428571431</v>
      </c>
      <c r="F519" s="2">
        <v>2175718</v>
      </c>
    </row>
    <row r="520" spans="1:6" x14ac:dyDescent="0.2">
      <c r="A520" s="2">
        <v>496</v>
      </c>
      <c r="B520" s="2">
        <v>1370385.5524903091</v>
      </c>
      <c r="C520" s="2">
        <v>1880026.4475096909</v>
      </c>
      <c r="E520" s="2">
        <v>88.482142857142847</v>
      </c>
      <c r="F520" s="2">
        <v>2228902</v>
      </c>
    </row>
    <row r="521" spans="1:6" x14ac:dyDescent="0.2">
      <c r="A521" s="2">
        <v>497</v>
      </c>
      <c r="B521" s="2">
        <v>2671601.2320405729</v>
      </c>
      <c r="C521" s="2">
        <v>3411227.7679594271</v>
      </c>
      <c r="E521" s="2">
        <v>88.660714285714278</v>
      </c>
      <c r="F521" s="2">
        <v>2276323</v>
      </c>
    </row>
    <row r="522" spans="1:6" x14ac:dyDescent="0.2">
      <c r="A522" s="2">
        <v>498</v>
      </c>
      <c r="B522" s="2">
        <v>32170.215385266059</v>
      </c>
      <c r="C522" s="2">
        <v>-2285.2153852660595</v>
      </c>
      <c r="E522" s="2">
        <v>88.839285714285708</v>
      </c>
      <c r="F522" s="2">
        <v>2308621</v>
      </c>
    </row>
    <row r="523" spans="1:6" x14ac:dyDescent="0.2">
      <c r="A523" s="2">
        <v>499</v>
      </c>
      <c r="B523" s="2">
        <v>226326.83423707902</v>
      </c>
      <c r="C523" s="2">
        <v>-155739.83423707902</v>
      </c>
      <c r="E523" s="2">
        <v>89.017857142857139</v>
      </c>
      <c r="F523" s="2">
        <v>2312929</v>
      </c>
    </row>
    <row r="524" spans="1:6" x14ac:dyDescent="0.2">
      <c r="A524" s="2">
        <v>500</v>
      </c>
      <c r="B524" s="2">
        <v>305088.48150715412</v>
      </c>
      <c r="C524" s="2">
        <v>119587.51849284588</v>
      </c>
      <c r="E524" s="2">
        <v>89.196428571428569</v>
      </c>
      <c r="F524" s="2">
        <v>2351742</v>
      </c>
    </row>
    <row r="525" spans="1:6" x14ac:dyDescent="0.2">
      <c r="A525" s="2">
        <v>501</v>
      </c>
      <c r="B525" s="2">
        <v>131812.85751298894</v>
      </c>
      <c r="C525" s="2">
        <v>15601.142487011064</v>
      </c>
      <c r="E525" s="2">
        <v>89.375</v>
      </c>
      <c r="F525" s="2">
        <v>2394557</v>
      </c>
    </row>
    <row r="526" spans="1:6" x14ac:dyDescent="0.2">
      <c r="A526" s="2">
        <v>502</v>
      </c>
      <c r="B526" s="2">
        <v>64407.540779529343</v>
      </c>
      <c r="C526" s="2">
        <v>17267.459220470657</v>
      </c>
      <c r="E526" s="2">
        <v>89.553571428571431</v>
      </c>
      <c r="F526" s="2">
        <v>2419734</v>
      </c>
    </row>
    <row r="527" spans="1:6" x14ac:dyDescent="0.2">
      <c r="A527" s="2">
        <v>503</v>
      </c>
      <c r="B527" s="2">
        <v>29972.215926566292</v>
      </c>
      <c r="C527" s="2">
        <v>-25223.215926566292</v>
      </c>
      <c r="E527" s="2">
        <v>89.732142857142847</v>
      </c>
      <c r="F527" s="2">
        <v>2439394</v>
      </c>
    </row>
    <row r="528" spans="1:6" x14ac:dyDescent="0.2">
      <c r="A528" s="2">
        <v>504</v>
      </c>
      <c r="B528" s="2">
        <v>49387.877811747589</v>
      </c>
      <c r="C528" s="2">
        <v>-5836.8778117475886</v>
      </c>
      <c r="E528" s="2">
        <v>89.910714285714278</v>
      </c>
      <c r="F528" s="2">
        <v>2499263</v>
      </c>
    </row>
    <row r="529" spans="1:6" x14ac:dyDescent="0.2">
      <c r="A529" s="2">
        <v>505</v>
      </c>
      <c r="B529" s="2">
        <v>1700451.8045383911</v>
      </c>
      <c r="C529" s="2">
        <v>-1220069.8045383911</v>
      </c>
      <c r="E529" s="2">
        <v>90.089285714285708</v>
      </c>
      <c r="F529" s="2">
        <v>2505812</v>
      </c>
    </row>
    <row r="530" spans="1:6" x14ac:dyDescent="0.2">
      <c r="A530" s="2">
        <v>506</v>
      </c>
      <c r="B530" s="2">
        <v>4305813.8295838507</v>
      </c>
      <c r="C530" s="2">
        <v>-3096440.8295838507</v>
      </c>
      <c r="E530" s="2">
        <v>90.267857142857139</v>
      </c>
      <c r="F530" s="2">
        <v>2525589</v>
      </c>
    </row>
    <row r="531" spans="1:6" x14ac:dyDescent="0.2">
      <c r="A531" s="2">
        <v>507</v>
      </c>
      <c r="B531" s="2">
        <v>16051.552688134418</v>
      </c>
      <c r="C531" s="2">
        <v>-15408.552688134418</v>
      </c>
      <c r="E531" s="2">
        <v>90.446428571428569</v>
      </c>
      <c r="F531" s="2">
        <v>2600565</v>
      </c>
    </row>
    <row r="532" spans="1:6" x14ac:dyDescent="0.2">
      <c r="A532" s="2">
        <v>508</v>
      </c>
      <c r="B532" s="2">
        <v>68437.20645381225</v>
      </c>
      <c r="C532" s="2">
        <v>4883.7935461877496</v>
      </c>
      <c r="E532" s="2">
        <v>90.625</v>
      </c>
      <c r="F532" s="2">
        <v>2920520</v>
      </c>
    </row>
    <row r="533" spans="1:6" x14ac:dyDescent="0.2">
      <c r="A533" s="2">
        <v>509</v>
      </c>
      <c r="B533" s="2">
        <v>198851.84100333191</v>
      </c>
      <c r="C533" s="2">
        <v>-149916.84100333191</v>
      </c>
      <c r="E533" s="2">
        <v>90.803571428571431</v>
      </c>
      <c r="F533" s="2">
        <v>2967735</v>
      </c>
    </row>
    <row r="534" spans="1:6" x14ac:dyDescent="0.2">
      <c r="A534" s="2">
        <v>510</v>
      </c>
      <c r="B534" s="2">
        <v>1901568.75500942</v>
      </c>
      <c r="C534" s="2">
        <v>-1362738.75500942</v>
      </c>
      <c r="E534" s="2">
        <v>90.982142857142847</v>
      </c>
      <c r="F534" s="2">
        <v>3250412</v>
      </c>
    </row>
    <row r="535" spans="1:6" x14ac:dyDescent="0.2">
      <c r="A535" s="2">
        <v>511</v>
      </c>
      <c r="B535" s="2">
        <v>34001.881600849199</v>
      </c>
      <c r="C535" s="2">
        <v>-3815.8816008491995</v>
      </c>
      <c r="E535" s="2">
        <v>91.160714285714278</v>
      </c>
      <c r="F535" s="2">
        <v>3264610</v>
      </c>
    </row>
    <row r="536" spans="1:6" x14ac:dyDescent="0.2">
      <c r="A536" s="2">
        <v>512</v>
      </c>
      <c r="B536" s="2">
        <v>37298.880788898852</v>
      </c>
      <c r="C536" s="2">
        <v>-29115.880788898852</v>
      </c>
      <c r="E536" s="2">
        <v>91.339285714285708</v>
      </c>
      <c r="F536" s="2">
        <v>3282275</v>
      </c>
    </row>
    <row r="537" spans="1:6" x14ac:dyDescent="0.2">
      <c r="A537" s="2">
        <v>513</v>
      </c>
      <c r="B537" s="2">
        <v>18982.218633067445</v>
      </c>
      <c r="C537" s="2">
        <v>-15174.218633067445</v>
      </c>
      <c r="E537" s="2">
        <v>91.517857142857139</v>
      </c>
      <c r="F537" s="2">
        <v>3366238</v>
      </c>
    </row>
    <row r="538" spans="1:6" x14ac:dyDescent="0.2">
      <c r="A538" s="2">
        <v>514</v>
      </c>
      <c r="B538" s="2">
        <v>627461.735449787</v>
      </c>
      <c r="C538" s="2">
        <v>-524829.735449787</v>
      </c>
      <c r="E538" s="2">
        <v>91.696428571428569</v>
      </c>
      <c r="F538" s="2">
        <v>3394400</v>
      </c>
    </row>
    <row r="539" spans="1:6" x14ac:dyDescent="0.2">
      <c r="A539" s="2">
        <v>515</v>
      </c>
      <c r="B539" s="2">
        <v>120822.86021949009</v>
      </c>
      <c r="C539" s="2">
        <v>92026.139780509911</v>
      </c>
      <c r="E539" s="2">
        <v>91.875</v>
      </c>
      <c r="F539" s="2">
        <v>3531568</v>
      </c>
    </row>
    <row r="540" spans="1:6" x14ac:dyDescent="0.2">
      <c r="A540" s="2">
        <v>516</v>
      </c>
      <c r="B540" s="2">
        <v>61110.54159147969</v>
      </c>
      <c r="C540" s="2">
        <v>-10283.54159147969</v>
      </c>
      <c r="E540" s="2">
        <v>92.053571428571431</v>
      </c>
      <c r="F540" s="2">
        <v>3610747</v>
      </c>
    </row>
    <row r="541" spans="1:6" x14ac:dyDescent="0.2">
      <c r="A541" s="2">
        <v>517</v>
      </c>
      <c r="B541" s="2">
        <v>29239.549440333034</v>
      </c>
      <c r="C541" s="2">
        <v>7202.450559666966</v>
      </c>
      <c r="E541" s="2">
        <v>92.232142857142847</v>
      </c>
      <c r="F541" s="2">
        <v>4081449</v>
      </c>
    </row>
    <row r="542" spans="1:6" x14ac:dyDescent="0.2">
      <c r="A542" s="2">
        <v>518</v>
      </c>
      <c r="B542" s="2">
        <v>50486.87754109747</v>
      </c>
      <c r="C542" s="2">
        <v>-8935.8775410974704</v>
      </c>
      <c r="E542" s="2">
        <v>92.410714285714278</v>
      </c>
      <c r="F542" s="2">
        <v>4161586</v>
      </c>
    </row>
    <row r="543" spans="1:6" x14ac:dyDescent="0.2">
      <c r="A543" s="2">
        <v>519</v>
      </c>
      <c r="B543" s="2">
        <v>88219.201582110181</v>
      </c>
      <c r="C543" s="2">
        <v>59978.798417889819</v>
      </c>
      <c r="E543" s="2">
        <v>92.589285714285708</v>
      </c>
      <c r="F543" s="2">
        <v>4253082</v>
      </c>
    </row>
    <row r="544" spans="1:6" x14ac:dyDescent="0.2">
      <c r="A544" s="2">
        <v>520</v>
      </c>
      <c r="B544" s="2">
        <v>105436.86400859171</v>
      </c>
      <c r="C544" s="2">
        <v>-70899.864008591714</v>
      </c>
      <c r="E544" s="2">
        <v>92.767857142857139</v>
      </c>
      <c r="F544" s="2">
        <v>4342495</v>
      </c>
    </row>
    <row r="545" spans="1:6" x14ac:dyDescent="0.2">
      <c r="A545" s="2">
        <v>521</v>
      </c>
      <c r="B545" s="2">
        <v>25576.21700916675</v>
      </c>
      <c r="C545" s="2">
        <v>-7472.2170091667504</v>
      </c>
      <c r="E545" s="2">
        <v>92.946428571428569</v>
      </c>
      <c r="F545" s="2">
        <v>4356040</v>
      </c>
    </row>
    <row r="546" spans="1:6" x14ac:dyDescent="0.2">
      <c r="A546" s="2">
        <v>522</v>
      </c>
      <c r="B546" s="2">
        <v>15685.21944501779</v>
      </c>
      <c r="C546" s="2">
        <v>-15166.21944501779</v>
      </c>
      <c r="E546" s="2">
        <v>93.125</v>
      </c>
      <c r="F546" s="2">
        <v>4358396</v>
      </c>
    </row>
    <row r="547" spans="1:6" x14ac:dyDescent="0.2">
      <c r="A547" s="2">
        <v>523</v>
      </c>
      <c r="B547" s="2">
        <v>2299040.3237909619</v>
      </c>
      <c r="C547" s="2">
        <v>-1645546.3237909619</v>
      </c>
      <c r="E547" s="2">
        <v>93.303571428571431</v>
      </c>
      <c r="F547" s="2">
        <v>4414401</v>
      </c>
    </row>
    <row r="548" spans="1:6" x14ac:dyDescent="0.2">
      <c r="A548" s="2">
        <v>524</v>
      </c>
      <c r="B548" s="2">
        <v>541739.75656049594</v>
      </c>
      <c r="C548" s="2">
        <v>64721.243439504062</v>
      </c>
      <c r="E548" s="2">
        <v>93.482142857142847</v>
      </c>
      <c r="F548" s="2">
        <v>4532245</v>
      </c>
    </row>
    <row r="549" spans="1:6" x14ac:dyDescent="0.2">
      <c r="A549" s="2">
        <v>525</v>
      </c>
      <c r="B549" s="2">
        <v>1805955.77855598</v>
      </c>
      <c r="C549" s="2">
        <v>222030.22144402005</v>
      </c>
      <c r="E549" s="2">
        <v>93.660714285714278</v>
      </c>
      <c r="F549" s="2">
        <v>4540561</v>
      </c>
    </row>
    <row r="550" spans="1:6" x14ac:dyDescent="0.2">
      <c r="A550" s="2">
        <v>526</v>
      </c>
      <c r="B550" s="2">
        <v>181267.84533373374</v>
      </c>
      <c r="C550" s="2">
        <v>-25.845333733741427</v>
      </c>
      <c r="E550" s="2">
        <v>93.839285714285708</v>
      </c>
      <c r="F550" s="2">
        <v>4688603</v>
      </c>
    </row>
    <row r="551" spans="1:6" x14ac:dyDescent="0.2">
      <c r="A551" s="2">
        <v>527</v>
      </c>
      <c r="B551" s="2">
        <v>57813.542403430038</v>
      </c>
      <c r="C551" s="2">
        <v>9828.4575965699623</v>
      </c>
      <c r="E551" s="2">
        <v>94.017857142857139</v>
      </c>
      <c r="F551" s="2">
        <v>4880359</v>
      </c>
    </row>
    <row r="552" spans="1:6" x14ac:dyDescent="0.2">
      <c r="A552" s="2">
        <v>528</v>
      </c>
      <c r="B552" s="2">
        <v>1845519.7688125758</v>
      </c>
      <c r="C552" s="2">
        <v>5948205.2311874237</v>
      </c>
      <c r="E552" s="2">
        <v>94.196428571428569</v>
      </c>
      <c r="F552" s="2">
        <v>5063771</v>
      </c>
    </row>
    <row r="553" spans="1:6" x14ac:dyDescent="0.2">
      <c r="A553" s="2">
        <v>529</v>
      </c>
      <c r="B553" s="2">
        <v>300326.14934663795</v>
      </c>
      <c r="C553" s="2">
        <v>344415.85065336205</v>
      </c>
      <c r="E553" s="2">
        <v>94.375</v>
      </c>
      <c r="F553" s="2">
        <v>5082340</v>
      </c>
    </row>
    <row r="554" spans="1:6" x14ac:dyDescent="0.2">
      <c r="A554" s="2">
        <v>530</v>
      </c>
      <c r="B554" s="2">
        <v>45724.545380581301</v>
      </c>
      <c r="C554" s="2">
        <v>-23038.545380581301</v>
      </c>
      <c r="E554" s="2">
        <v>94.553571428571431</v>
      </c>
      <c r="F554" s="2">
        <v>5097032</v>
      </c>
    </row>
    <row r="555" spans="1:6" x14ac:dyDescent="0.2">
      <c r="A555" s="2">
        <v>531</v>
      </c>
      <c r="B555" s="2">
        <v>506938.09846441628</v>
      </c>
      <c r="C555" s="2">
        <v>17255.901535583718</v>
      </c>
      <c r="E555" s="2">
        <v>94.732142857142847</v>
      </c>
      <c r="F555" s="2">
        <v>5115931</v>
      </c>
    </row>
    <row r="556" spans="1:6" x14ac:dyDescent="0.2">
      <c r="A556" s="2">
        <v>532</v>
      </c>
      <c r="B556" s="2">
        <v>25576.21700916675</v>
      </c>
      <c r="C556" s="2">
        <v>-3799.2170091667504</v>
      </c>
      <c r="E556" s="2">
        <v>94.910714285714278</v>
      </c>
      <c r="F556" s="2">
        <v>5175160</v>
      </c>
    </row>
    <row r="557" spans="1:6" x14ac:dyDescent="0.2">
      <c r="A557" s="2">
        <v>533</v>
      </c>
      <c r="B557" s="2">
        <v>197020.17478774878</v>
      </c>
      <c r="C557" s="2">
        <v>102640.82521225122</v>
      </c>
      <c r="E557" s="2">
        <v>95.089285714285708</v>
      </c>
      <c r="F557" s="2">
        <v>5286887</v>
      </c>
    </row>
    <row r="558" spans="1:6" x14ac:dyDescent="0.2">
      <c r="A558" s="2">
        <v>534</v>
      </c>
      <c r="B558" s="2">
        <v>230722.83315447858</v>
      </c>
      <c r="C558" s="2">
        <v>95524.166845521424</v>
      </c>
      <c r="E558" s="2">
        <v>95.267857142857139</v>
      </c>
      <c r="F558" s="2">
        <v>5329960</v>
      </c>
    </row>
    <row r="559" spans="1:6" x14ac:dyDescent="0.2">
      <c r="A559" s="2">
        <v>535</v>
      </c>
      <c r="B559" s="2">
        <v>656402.06165600056</v>
      </c>
      <c r="C559" s="2">
        <v>786002.93834399944</v>
      </c>
      <c r="E559" s="2">
        <v>95.446428571428569</v>
      </c>
      <c r="F559" s="2">
        <v>5331834</v>
      </c>
    </row>
    <row r="560" spans="1:6" x14ac:dyDescent="0.2">
      <c r="A560" s="2">
        <v>536</v>
      </c>
      <c r="B560" s="2">
        <v>132911.85724233883</v>
      </c>
      <c r="C560" s="2">
        <v>-9089.857242338825</v>
      </c>
      <c r="E560" s="2">
        <v>95.625</v>
      </c>
      <c r="F560" s="2">
        <v>5434641</v>
      </c>
    </row>
    <row r="561" spans="1:6" x14ac:dyDescent="0.2">
      <c r="A561" s="2">
        <v>537</v>
      </c>
      <c r="B561" s="2">
        <v>68803.539696928885</v>
      </c>
      <c r="C561" s="2">
        <v>-9347.539696928885</v>
      </c>
      <c r="E561" s="2">
        <v>95.803571428571431</v>
      </c>
      <c r="F561" s="2">
        <v>5721506</v>
      </c>
    </row>
    <row r="562" spans="1:6" x14ac:dyDescent="0.2">
      <c r="A562" s="2">
        <v>538</v>
      </c>
      <c r="B562" s="2">
        <v>2300505.6567634279</v>
      </c>
      <c r="C562" s="2">
        <v>-212350.65676342789</v>
      </c>
      <c r="E562" s="2">
        <v>95.982142857142847</v>
      </c>
      <c r="F562" s="2">
        <v>5866385</v>
      </c>
    </row>
    <row r="563" spans="1:6" x14ac:dyDescent="0.2">
      <c r="A563" s="2">
        <v>539</v>
      </c>
      <c r="B563" s="2">
        <v>56714.542674080156</v>
      </c>
      <c r="C563" s="2">
        <v>-43808.542674080156</v>
      </c>
      <c r="E563" s="2">
        <v>96.160714285714278</v>
      </c>
      <c r="F563" s="2">
        <v>5901671</v>
      </c>
    </row>
    <row r="564" spans="1:6" x14ac:dyDescent="0.2">
      <c r="A564" s="2">
        <v>540</v>
      </c>
      <c r="B564" s="2">
        <v>21180.218091767212</v>
      </c>
      <c r="C564" s="2">
        <v>-1147.2180917672122</v>
      </c>
      <c r="E564" s="2">
        <v>96.339285714285708</v>
      </c>
      <c r="F564" s="2">
        <v>5902786</v>
      </c>
    </row>
    <row r="565" spans="1:6" x14ac:dyDescent="0.2">
      <c r="A565" s="2">
        <v>541</v>
      </c>
      <c r="B565" s="2">
        <v>25576.21700916675</v>
      </c>
      <c r="C565" s="2">
        <v>-22185.21700916675</v>
      </c>
      <c r="E565" s="2">
        <v>96.517857142857139</v>
      </c>
      <c r="F565" s="2">
        <v>5956868</v>
      </c>
    </row>
    <row r="566" spans="1:6" x14ac:dyDescent="0.2">
      <c r="A566" s="2">
        <v>542</v>
      </c>
      <c r="B566" s="2">
        <v>6409665.6448026467</v>
      </c>
      <c r="C566" s="2">
        <v>-4598186.6448026467</v>
      </c>
      <c r="E566" s="2">
        <v>96.696428571428569</v>
      </c>
      <c r="F566" s="2">
        <v>6034926</v>
      </c>
    </row>
    <row r="567" spans="1:6" x14ac:dyDescent="0.2">
      <c r="A567" s="2">
        <v>543</v>
      </c>
      <c r="B567" s="2">
        <v>13853.553229434649</v>
      </c>
      <c r="C567" s="2">
        <v>-13849.553229434649</v>
      </c>
      <c r="E567" s="2">
        <v>96.875</v>
      </c>
      <c r="F567" s="2">
        <v>6082829</v>
      </c>
    </row>
    <row r="568" spans="1:6" x14ac:dyDescent="0.2">
      <c r="A568" s="2">
        <v>544</v>
      </c>
      <c r="B568" s="2">
        <v>236217.83180122799</v>
      </c>
      <c r="C568" s="2">
        <v>97802.168198772008</v>
      </c>
      <c r="E568" s="2">
        <v>97.053571428571431</v>
      </c>
      <c r="F568" s="2">
        <v>6087352</v>
      </c>
    </row>
    <row r="569" spans="1:6" x14ac:dyDescent="0.2">
      <c r="A569" s="2">
        <v>545</v>
      </c>
      <c r="B569" s="2">
        <v>34001.881600849199</v>
      </c>
      <c r="C569" s="2">
        <v>5709.1183991508005</v>
      </c>
      <c r="E569" s="2">
        <v>97.232142857142847</v>
      </c>
      <c r="F569" s="2">
        <v>6628695</v>
      </c>
    </row>
    <row r="570" spans="1:6" x14ac:dyDescent="0.2">
      <c r="A570" s="2">
        <v>546</v>
      </c>
      <c r="B570" s="2">
        <v>213138.83748488041</v>
      </c>
      <c r="C570" s="2">
        <v>76656.162515119591</v>
      </c>
      <c r="E570" s="2">
        <v>97.410714285714278</v>
      </c>
      <c r="F570" s="2">
        <v>6860837</v>
      </c>
    </row>
    <row r="571" spans="1:6" x14ac:dyDescent="0.2">
      <c r="A571" s="2">
        <v>547</v>
      </c>
      <c r="B571" s="2">
        <v>32536.54862838269</v>
      </c>
      <c r="C571" s="2">
        <v>-819.54862838269037</v>
      </c>
      <c r="E571" s="2">
        <v>97.589285714285708</v>
      </c>
      <c r="F571" s="2">
        <v>6896574</v>
      </c>
    </row>
    <row r="572" spans="1:6" x14ac:dyDescent="0.2">
      <c r="A572" s="2">
        <v>548</v>
      </c>
      <c r="B572" s="2">
        <v>1788371.7828863817</v>
      </c>
      <c r="C572" s="2">
        <v>606185.21711361827</v>
      </c>
      <c r="E572" s="2">
        <v>97.767857142857139</v>
      </c>
      <c r="F572" s="2">
        <v>7793725</v>
      </c>
    </row>
    <row r="573" spans="1:6" x14ac:dyDescent="0.2">
      <c r="A573" s="2">
        <v>549</v>
      </c>
      <c r="B573" s="2">
        <v>2259476.3335343655</v>
      </c>
      <c r="C573" s="2">
        <v>-1619788.3335343655</v>
      </c>
      <c r="E573" s="2">
        <v>97.946428571428569</v>
      </c>
      <c r="F573" s="2">
        <v>9877070</v>
      </c>
    </row>
    <row r="574" spans="1:6" x14ac:dyDescent="0.2">
      <c r="A574" s="2">
        <v>550</v>
      </c>
      <c r="B574" s="2">
        <v>24843.550522933496</v>
      </c>
      <c r="C574" s="2">
        <v>-22003.550522933496</v>
      </c>
      <c r="E574" s="2">
        <v>98.125</v>
      </c>
      <c r="F574" s="2">
        <v>10303977</v>
      </c>
    </row>
    <row r="575" spans="1:6" x14ac:dyDescent="0.2">
      <c r="A575" s="2">
        <v>551</v>
      </c>
      <c r="B575" s="2">
        <v>2288050.3264974626</v>
      </c>
      <c r="C575" s="2">
        <v>1873535.6735025374</v>
      </c>
      <c r="E575" s="2">
        <v>98.303571428571431</v>
      </c>
      <c r="F575" s="2">
        <v>10533180</v>
      </c>
    </row>
    <row r="576" spans="1:6" x14ac:dyDescent="0.2">
      <c r="A576" s="2">
        <v>552</v>
      </c>
      <c r="B576" s="2">
        <v>1353167.8900638274</v>
      </c>
      <c r="C576" s="2">
        <v>-975493.89006382739</v>
      </c>
      <c r="E576" s="2">
        <v>98.482142857142847</v>
      </c>
      <c r="F576" s="2">
        <v>10806135</v>
      </c>
    </row>
    <row r="577" spans="1:6" x14ac:dyDescent="0.2">
      <c r="A577" s="2">
        <v>553</v>
      </c>
      <c r="B577" s="2">
        <v>373959.1312130802</v>
      </c>
      <c r="C577" s="2">
        <v>28387.868786919804</v>
      </c>
      <c r="E577" s="2">
        <v>98.660714285714278</v>
      </c>
      <c r="F577" s="2">
        <v>15214105</v>
      </c>
    </row>
    <row r="578" spans="1:6" x14ac:dyDescent="0.2">
      <c r="A578" s="2">
        <v>554</v>
      </c>
      <c r="B578" s="2">
        <v>202515.1734344982</v>
      </c>
      <c r="C578" s="2">
        <v>275405.8265655018</v>
      </c>
      <c r="E578" s="2">
        <v>98.839285714285708</v>
      </c>
      <c r="F578" s="2">
        <v>16740852</v>
      </c>
    </row>
    <row r="579" spans="1:6" x14ac:dyDescent="0.2">
      <c r="A579" s="2">
        <v>555</v>
      </c>
      <c r="B579" s="2">
        <v>123753.52616442312</v>
      </c>
      <c r="C579" s="2">
        <v>87336.473835576879</v>
      </c>
      <c r="E579" s="2">
        <v>99.017857142857139</v>
      </c>
      <c r="F579" s="2">
        <v>19292554</v>
      </c>
    </row>
    <row r="580" spans="1:6" x14ac:dyDescent="0.2">
      <c r="A580" s="2">
        <v>556</v>
      </c>
      <c r="B580" s="2">
        <v>31437.548899032805</v>
      </c>
      <c r="C580" s="2">
        <v>-2541.5488990328049</v>
      </c>
      <c r="E580" s="2">
        <v>99.196428571428569</v>
      </c>
      <c r="F580" s="2">
        <v>25112803</v>
      </c>
    </row>
    <row r="581" spans="1:6" x14ac:dyDescent="0.2">
      <c r="A581" s="2">
        <v>557</v>
      </c>
      <c r="B581" s="2">
        <v>1219822.5895693749</v>
      </c>
      <c r="C581" s="2">
        <v>397382.41043062508</v>
      </c>
      <c r="E581" s="2">
        <v>99.375</v>
      </c>
      <c r="F581" s="2">
        <v>30938595</v>
      </c>
    </row>
    <row r="582" spans="1:6" x14ac:dyDescent="0.2">
      <c r="A582" s="2">
        <v>558</v>
      </c>
      <c r="B582" s="2">
        <v>796707.69376966916</v>
      </c>
      <c r="C582" s="2">
        <v>139757.30623033084</v>
      </c>
      <c r="E582" s="2">
        <v>99.553571428571431</v>
      </c>
      <c r="F582" s="2">
        <v>32941809</v>
      </c>
    </row>
    <row r="583" spans="1:6" x14ac:dyDescent="0.2">
      <c r="A583" s="2">
        <v>559</v>
      </c>
      <c r="B583" s="2">
        <v>470671.10739587009</v>
      </c>
      <c r="C583" s="2">
        <v>26340.892604129913</v>
      </c>
      <c r="E583" s="2">
        <v>99.732142857142847</v>
      </c>
      <c r="F583" s="2">
        <v>38143192</v>
      </c>
    </row>
    <row r="584" spans="1:6" ht="17" thickBot="1" x14ac:dyDescent="0.25">
      <c r="A584" s="3">
        <v>560</v>
      </c>
      <c r="B584" s="3">
        <v>4690463.7348563103</v>
      </c>
      <c r="C584" s="3">
        <v>1266404.2651436897</v>
      </c>
      <c r="E584" s="3">
        <v>99.910714285714278</v>
      </c>
      <c r="F584" s="3">
        <v>41497994</v>
      </c>
    </row>
  </sheetData>
  <sortState xmlns:xlrd2="http://schemas.microsoft.com/office/spreadsheetml/2017/richdata2" ref="F25:F584">
    <sortCondition ref="F25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N982"/>
  <sheetViews>
    <sheetView zoomScale="80" workbookViewId="0">
      <selection activeCell="F63" sqref="F63"/>
    </sheetView>
  </sheetViews>
  <sheetFormatPr baseColWidth="10" defaultRowHeight="16" x14ac:dyDescent="0.2"/>
  <cols>
    <col min="3" max="3" width="14" customWidth="1"/>
    <col min="4" max="4" width="13.83203125" customWidth="1"/>
    <col min="6" max="6" width="15.33203125" customWidth="1"/>
    <col min="9" max="9" width="15.6640625" customWidth="1"/>
    <col min="14" max="14" width="14.5" customWidth="1"/>
  </cols>
  <sheetData>
    <row r="1" spans="1:14" x14ac:dyDescent="0.2">
      <c r="C1" t="s">
        <v>0</v>
      </c>
      <c r="D1" t="s">
        <v>2</v>
      </c>
      <c r="E1" t="s">
        <v>1</v>
      </c>
      <c r="F1" t="s">
        <v>456</v>
      </c>
      <c r="I1" t="s">
        <v>3</v>
      </c>
      <c r="J1" t="s">
        <v>4</v>
      </c>
      <c r="L1" t="s">
        <v>455</v>
      </c>
      <c r="M1" t="s">
        <v>454</v>
      </c>
      <c r="N1" t="s">
        <v>5</v>
      </c>
    </row>
    <row r="2" spans="1:14" x14ac:dyDescent="0.2">
      <c r="C2" t="s">
        <v>6</v>
      </c>
      <c r="D2">
        <v>260</v>
      </c>
      <c r="E2">
        <v>1</v>
      </c>
      <c r="F2">
        <f>M2-L2</f>
        <v>10</v>
      </c>
      <c r="I2" t="s">
        <v>7</v>
      </c>
      <c r="J2" t="s">
        <v>8</v>
      </c>
      <c r="L2" t="str">
        <f>LEFT(I2,FIND(" ",I2)-1)</f>
        <v>2020/02/23</v>
      </c>
      <c r="M2" t="str">
        <f>LEFT(J2,FIND(" ",J2)-1)</f>
        <v>2020/03/04</v>
      </c>
      <c r="N2" t="s">
        <v>9</v>
      </c>
    </row>
    <row r="3" spans="1:14" hidden="1" x14ac:dyDescent="0.2">
      <c r="C3" t="s">
        <v>10</v>
      </c>
      <c r="D3">
        <v>22787</v>
      </c>
      <c r="E3">
        <v>12</v>
      </c>
      <c r="F3">
        <f>M3-L3</f>
        <v>6</v>
      </c>
      <c r="I3" t="s">
        <v>11</v>
      </c>
      <c r="J3" t="s">
        <v>12</v>
      </c>
      <c r="L3" t="str">
        <f t="shared" ref="L3:L66" si="0">LEFT(I3,FIND(" ",I3)-1)</f>
        <v>2020/02/04</v>
      </c>
      <c r="M3" t="str">
        <f t="shared" ref="M3:M66" si="1">LEFT(J3,FIND(" ",J3)-1)</f>
        <v>2020/02/10</v>
      </c>
      <c r="N3" t="s">
        <v>13</v>
      </c>
    </row>
    <row r="4" spans="1:14" x14ac:dyDescent="0.2">
      <c r="C4" t="s">
        <v>6</v>
      </c>
      <c r="D4">
        <v>4081449</v>
      </c>
      <c r="E4">
        <v>8749</v>
      </c>
      <c r="F4">
        <f>M4-L4</f>
        <v>84</v>
      </c>
      <c r="I4" t="s">
        <v>14</v>
      </c>
      <c r="J4" t="s">
        <v>15</v>
      </c>
      <c r="L4" t="str">
        <f t="shared" si="0"/>
        <v>2020/01/08</v>
      </c>
      <c r="M4" t="str">
        <f t="shared" si="1"/>
        <v>2020/04/01</v>
      </c>
      <c r="N4" t="s">
        <v>9</v>
      </c>
    </row>
    <row r="5" spans="1:14" x14ac:dyDescent="0.2">
      <c r="C5" t="s">
        <v>6</v>
      </c>
      <c r="D5">
        <v>729</v>
      </c>
      <c r="E5">
        <v>2</v>
      </c>
      <c r="F5">
        <f>M5-L5</f>
        <v>10</v>
      </c>
      <c r="I5" t="s">
        <v>16</v>
      </c>
      <c r="J5" t="s">
        <v>8</v>
      </c>
      <c r="L5" t="str">
        <f t="shared" si="0"/>
        <v>2020/02/23</v>
      </c>
      <c r="M5" t="str">
        <f t="shared" si="1"/>
        <v>2020/03/04</v>
      </c>
      <c r="N5" t="s">
        <v>9</v>
      </c>
    </row>
    <row r="6" spans="1:14" x14ac:dyDescent="0.2">
      <c r="C6" t="s">
        <v>6</v>
      </c>
      <c r="D6">
        <v>806803</v>
      </c>
      <c r="E6">
        <v>924</v>
      </c>
      <c r="F6">
        <f>M6-L6</f>
        <v>84</v>
      </c>
      <c r="I6" t="s">
        <v>14</v>
      </c>
      <c r="J6" t="s">
        <v>15</v>
      </c>
      <c r="L6" t="str">
        <f t="shared" si="0"/>
        <v>2020/01/08</v>
      </c>
      <c r="M6" t="str">
        <f t="shared" si="1"/>
        <v>2020/04/01</v>
      </c>
      <c r="N6" t="s">
        <v>9</v>
      </c>
    </row>
    <row r="7" spans="1:14" hidden="1" x14ac:dyDescent="0.2">
      <c r="C7" t="s">
        <v>6</v>
      </c>
      <c r="D7">
        <v>36905</v>
      </c>
      <c r="E7">
        <v>106</v>
      </c>
      <c r="I7" t="s">
        <v>17</v>
      </c>
      <c r="L7" t="str">
        <f t="shared" si="0"/>
        <v>2020/02/03</v>
      </c>
      <c r="M7" t="e">
        <f t="shared" si="1"/>
        <v>#VALUE!</v>
      </c>
      <c r="N7" t="s">
        <v>9</v>
      </c>
    </row>
    <row r="8" spans="1:14" x14ac:dyDescent="0.2">
      <c r="C8" t="s">
        <v>6</v>
      </c>
      <c r="D8">
        <v>5434641</v>
      </c>
      <c r="E8">
        <v>7542</v>
      </c>
      <c r="F8">
        <f t="shared" ref="F8:F13" si="2">M8-L8</f>
        <v>63</v>
      </c>
      <c r="I8" t="s">
        <v>18</v>
      </c>
      <c r="J8" t="s">
        <v>15</v>
      </c>
      <c r="L8" t="str">
        <f t="shared" si="0"/>
        <v>2020/01/29</v>
      </c>
      <c r="M8" t="str">
        <f t="shared" si="1"/>
        <v>2020/04/01</v>
      </c>
      <c r="N8" t="s">
        <v>9</v>
      </c>
    </row>
    <row r="9" spans="1:14" x14ac:dyDescent="0.2">
      <c r="C9" t="s">
        <v>6</v>
      </c>
      <c r="D9">
        <v>3282275</v>
      </c>
      <c r="E9">
        <v>3334</v>
      </c>
      <c r="F9">
        <f t="shared" si="2"/>
        <v>63</v>
      </c>
      <c r="I9" t="s">
        <v>18</v>
      </c>
      <c r="J9" t="s">
        <v>15</v>
      </c>
      <c r="L9" t="str">
        <f t="shared" si="0"/>
        <v>2020/01/29</v>
      </c>
      <c r="M9" t="str">
        <f t="shared" si="1"/>
        <v>2020/04/01</v>
      </c>
      <c r="N9" t="s">
        <v>9</v>
      </c>
    </row>
    <row r="10" spans="1:14" x14ac:dyDescent="0.2">
      <c r="A10" s="1"/>
      <c r="C10" t="s">
        <v>6</v>
      </c>
      <c r="D10">
        <v>156211</v>
      </c>
      <c r="E10">
        <v>300</v>
      </c>
      <c r="F10">
        <f t="shared" si="2"/>
        <v>12</v>
      </c>
      <c r="I10" t="s">
        <v>19</v>
      </c>
      <c r="J10" t="s">
        <v>20</v>
      </c>
      <c r="L10" t="str">
        <f t="shared" si="0"/>
        <v>2020/01/23</v>
      </c>
      <c r="M10" t="str">
        <f t="shared" si="1"/>
        <v>2020/02/04</v>
      </c>
      <c r="N10" t="s">
        <v>9</v>
      </c>
    </row>
    <row r="11" spans="1:14" x14ac:dyDescent="0.2">
      <c r="C11" t="s">
        <v>6</v>
      </c>
      <c r="D11">
        <v>70295</v>
      </c>
      <c r="E11">
        <v>124</v>
      </c>
      <c r="F11">
        <f t="shared" si="2"/>
        <v>226</v>
      </c>
      <c r="I11" t="s">
        <v>21</v>
      </c>
      <c r="J11" t="s">
        <v>22</v>
      </c>
      <c r="L11" t="str">
        <f t="shared" si="0"/>
        <v>2019/10/18</v>
      </c>
      <c r="M11" t="str">
        <f t="shared" si="1"/>
        <v>2020/05/31</v>
      </c>
      <c r="N11" t="s">
        <v>9</v>
      </c>
    </row>
    <row r="12" spans="1:14" x14ac:dyDescent="0.2">
      <c r="C12" t="s">
        <v>6</v>
      </c>
      <c r="D12">
        <v>38957</v>
      </c>
      <c r="E12">
        <v>149</v>
      </c>
      <c r="F12">
        <f t="shared" si="2"/>
        <v>12</v>
      </c>
      <c r="I12" t="s">
        <v>23</v>
      </c>
      <c r="J12" t="s">
        <v>24</v>
      </c>
      <c r="L12" t="str">
        <f t="shared" si="0"/>
        <v>2020/02/21</v>
      </c>
      <c r="M12" t="str">
        <f t="shared" si="1"/>
        <v>2020/03/04</v>
      </c>
      <c r="N12" t="s">
        <v>9</v>
      </c>
    </row>
    <row r="13" spans="1:14" x14ac:dyDescent="0.2">
      <c r="C13" t="s">
        <v>6</v>
      </c>
      <c r="D13">
        <v>131249</v>
      </c>
      <c r="E13">
        <v>223</v>
      </c>
      <c r="F13">
        <f t="shared" si="2"/>
        <v>226</v>
      </c>
      <c r="I13" t="s">
        <v>21</v>
      </c>
      <c r="J13" t="s">
        <v>22</v>
      </c>
      <c r="L13" t="str">
        <f t="shared" si="0"/>
        <v>2019/10/18</v>
      </c>
      <c r="M13" t="str">
        <f t="shared" si="1"/>
        <v>2020/05/31</v>
      </c>
      <c r="N13" t="s">
        <v>9</v>
      </c>
    </row>
    <row r="14" spans="1:14" hidden="1" x14ac:dyDescent="0.2">
      <c r="C14" t="s">
        <v>6</v>
      </c>
      <c r="D14">
        <v>299354</v>
      </c>
      <c r="E14">
        <v>260</v>
      </c>
      <c r="I14" t="s">
        <v>25</v>
      </c>
      <c r="L14" t="str">
        <f t="shared" si="0"/>
        <v>2020/02/19</v>
      </c>
      <c r="M14" t="e">
        <f t="shared" si="1"/>
        <v>#VALUE!</v>
      </c>
      <c r="N14" t="s">
        <v>9</v>
      </c>
    </row>
    <row r="15" spans="1:14" x14ac:dyDescent="0.2">
      <c r="C15" t="s">
        <v>6</v>
      </c>
      <c r="D15">
        <v>56539</v>
      </c>
      <c r="E15">
        <v>122</v>
      </c>
      <c r="F15">
        <f>M15-L15</f>
        <v>12</v>
      </c>
      <c r="I15" t="s">
        <v>19</v>
      </c>
      <c r="J15" t="s">
        <v>26</v>
      </c>
      <c r="L15" t="str">
        <f t="shared" si="0"/>
        <v>2020/01/23</v>
      </c>
      <c r="M15" t="str">
        <f t="shared" si="1"/>
        <v>2020/02/04</v>
      </c>
      <c r="N15" t="s">
        <v>9</v>
      </c>
    </row>
    <row r="16" spans="1:14" hidden="1" x14ac:dyDescent="0.2">
      <c r="C16" t="s">
        <v>10</v>
      </c>
      <c r="D16">
        <v>313786</v>
      </c>
      <c r="E16">
        <v>187</v>
      </c>
      <c r="F16">
        <f>M16-L16</f>
        <v>6</v>
      </c>
      <c r="I16" t="s">
        <v>11</v>
      </c>
      <c r="J16" t="s">
        <v>12</v>
      </c>
      <c r="L16" t="str">
        <f t="shared" si="0"/>
        <v>2020/02/04</v>
      </c>
      <c r="M16" t="str">
        <f t="shared" si="1"/>
        <v>2020/02/10</v>
      </c>
      <c r="N16" t="s">
        <v>13</v>
      </c>
    </row>
    <row r="17" spans="1:14" hidden="1" x14ac:dyDescent="0.2">
      <c r="A17" s="1"/>
      <c r="C17" t="s">
        <v>10</v>
      </c>
      <c r="D17">
        <v>905</v>
      </c>
      <c r="E17">
        <v>0</v>
      </c>
      <c r="I17" t="s">
        <v>27</v>
      </c>
      <c r="L17" t="str">
        <f t="shared" si="0"/>
        <v>2020/01/17</v>
      </c>
      <c r="M17" t="e">
        <f t="shared" si="1"/>
        <v>#VALUE!</v>
      </c>
      <c r="N17" t="s">
        <v>28</v>
      </c>
    </row>
    <row r="18" spans="1:14" hidden="1" x14ac:dyDescent="0.2">
      <c r="C18" t="s">
        <v>6</v>
      </c>
      <c r="D18">
        <v>26936</v>
      </c>
      <c r="E18">
        <v>48</v>
      </c>
      <c r="I18" t="s">
        <v>29</v>
      </c>
      <c r="L18" t="str">
        <f t="shared" si="0"/>
        <v>2020/01/04</v>
      </c>
      <c r="M18" t="e">
        <f t="shared" si="1"/>
        <v>#VALUE!</v>
      </c>
      <c r="N18" t="s">
        <v>9</v>
      </c>
    </row>
    <row r="19" spans="1:14" hidden="1" x14ac:dyDescent="0.2">
      <c r="C19" t="s">
        <v>6</v>
      </c>
      <c r="D19">
        <v>196878</v>
      </c>
      <c r="E19">
        <v>319</v>
      </c>
      <c r="I19" t="s">
        <v>30</v>
      </c>
      <c r="L19" t="str">
        <f t="shared" si="0"/>
        <v>2020/01/22</v>
      </c>
      <c r="M19" t="e">
        <f t="shared" si="1"/>
        <v>#VALUE!</v>
      </c>
      <c r="N19" t="s">
        <v>9</v>
      </c>
    </row>
    <row r="20" spans="1:14" x14ac:dyDescent="0.2">
      <c r="C20" t="s">
        <v>6</v>
      </c>
      <c r="D20">
        <v>76037</v>
      </c>
      <c r="E20">
        <v>510</v>
      </c>
      <c r="F20">
        <f>M20-L20</f>
        <v>27</v>
      </c>
      <c r="I20" t="s">
        <v>31</v>
      </c>
      <c r="J20" t="s">
        <v>24</v>
      </c>
      <c r="L20" t="str">
        <f t="shared" si="0"/>
        <v>2020/02/06</v>
      </c>
      <c r="M20" t="str">
        <f t="shared" si="1"/>
        <v>2020/03/04</v>
      </c>
      <c r="N20" t="s">
        <v>9</v>
      </c>
    </row>
    <row r="21" spans="1:14" hidden="1" x14ac:dyDescent="0.2">
      <c r="C21" t="s">
        <v>6</v>
      </c>
      <c r="D21">
        <v>2758</v>
      </c>
      <c r="E21">
        <v>6</v>
      </c>
      <c r="I21" t="s">
        <v>32</v>
      </c>
      <c r="L21" t="str">
        <f t="shared" si="0"/>
        <v>2020/01/26</v>
      </c>
      <c r="M21" t="e">
        <f t="shared" si="1"/>
        <v>#VALUE!</v>
      </c>
      <c r="N21" t="s">
        <v>9</v>
      </c>
    </row>
    <row r="22" spans="1:14" hidden="1" x14ac:dyDescent="0.2">
      <c r="C22" t="s">
        <v>10</v>
      </c>
      <c r="D22">
        <v>547188</v>
      </c>
      <c r="E22">
        <v>657</v>
      </c>
      <c r="F22">
        <f>M22-L22</f>
        <v>11</v>
      </c>
      <c r="I22" t="s">
        <v>33</v>
      </c>
      <c r="J22" t="s">
        <v>34</v>
      </c>
      <c r="L22" t="str">
        <f t="shared" si="0"/>
        <v>2020/02/03</v>
      </c>
      <c r="M22" t="str">
        <f t="shared" si="1"/>
        <v>2020/02/14</v>
      </c>
      <c r="N22" t="s">
        <v>35</v>
      </c>
    </row>
    <row r="23" spans="1:14" hidden="1" x14ac:dyDescent="0.2">
      <c r="C23" t="s">
        <v>10</v>
      </c>
      <c r="D23">
        <v>991</v>
      </c>
      <c r="E23">
        <v>0</v>
      </c>
      <c r="I23" t="s">
        <v>36</v>
      </c>
      <c r="L23" t="str">
        <f t="shared" si="0"/>
        <v>2020/01/17</v>
      </c>
      <c r="M23" t="e">
        <f t="shared" si="1"/>
        <v>#VALUE!</v>
      </c>
      <c r="N23" t="s">
        <v>28</v>
      </c>
    </row>
    <row r="24" spans="1:14" x14ac:dyDescent="0.2">
      <c r="C24" t="s">
        <v>6</v>
      </c>
      <c r="D24">
        <v>30507</v>
      </c>
      <c r="E24">
        <v>302</v>
      </c>
      <c r="F24">
        <f>M24-L24</f>
        <v>4</v>
      </c>
      <c r="I24" t="s">
        <v>37</v>
      </c>
      <c r="J24" t="s">
        <v>38</v>
      </c>
      <c r="L24" t="str">
        <f t="shared" si="0"/>
        <v>2020/02/07</v>
      </c>
      <c r="M24" t="str">
        <f t="shared" si="1"/>
        <v>2020/02/11</v>
      </c>
      <c r="N24" t="s">
        <v>9</v>
      </c>
    </row>
    <row r="25" spans="1:14" hidden="1" x14ac:dyDescent="0.2">
      <c r="C25" t="s">
        <v>39</v>
      </c>
      <c r="D25">
        <v>150290</v>
      </c>
      <c r="E25">
        <v>364</v>
      </c>
      <c r="I25" t="s">
        <v>40</v>
      </c>
      <c r="L25" t="str">
        <f t="shared" si="0"/>
        <v>2020/02/01</v>
      </c>
      <c r="M25" t="e">
        <f t="shared" si="1"/>
        <v>#VALUE!</v>
      </c>
      <c r="N25" t="s">
        <v>41</v>
      </c>
    </row>
    <row r="26" spans="1:14" hidden="1" x14ac:dyDescent="0.2">
      <c r="C26" t="s">
        <v>10</v>
      </c>
      <c r="D26">
        <v>43413</v>
      </c>
      <c r="E26">
        <v>157</v>
      </c>
      <c r="F26">
        <f>M26-L26</f>
        <v>6</v>
      </c>
      <c r="I26" t="s">
        <v>42</v>
      </c>
      <c r="J26" t="s">
        <v>43</v>
      </c>
      <c r="L26" t="str">
        <f t="shared" si="0"/>
        <v>2020/01/23</v>
      </c>
      <c r="M26" t="str">
        <f t="shared" si="1"/>
        <v>2020/01/29</v>
      </c>
      <c r="N26" t="s">
        <v>13</v>
      </c>
    </row>
    <row r="27" spans="1:14" hidden="1" x14ac:dyDescent="0.2">
      <c r="C27" t="s">
        <v>6</v>
      </c>
      <c r="D27">
        <v>5135</v>
      </c>
      <c r="E27">
        <v>4</v>
      </c>
      <c r="I27" t="s">
        <v>44</v>
      </c>
      <c r="L27" t="str">
        <f t="shared" si="0"/>
        <v>2020/02/20</v>
      </c>
      <c r="M27" t="e">
        <f t="shared" si="1"/>
        <v>#VALUE!</v>
      </c>
      <c r="N27" t="s">
        <v>9</v>
      </c>
    </row>
    <row r="28" spans="1:14" x14ac:dyDescent="0.2">
      <c r="C28" t="s">
        <v>6</v>
      </c>
      <c r="D28">
        <v>201877</v>
      </c>
      <c r="E28">
        <v>257</v>
      </c>
      <c r="F28">
        <f t="shared" ref="F28:F37" si="3">M28-L28</f>
        <v>31</v>
      </c>
      <c r="I28" t="s">
        <v>45</v>
      </c>
      <c r="J28" t="s">
        <v>46</v>
      </c>
      <c r="L28" t="str">
        <f t="shared" si="0"/>
        <v>2020/01/01</v>
      </c>
      <c r="M28" t="str">
        <f t="shared" si="1"/>
        <v>2020/02/01</v>
      </c>
      <c r="N28" t="s">
        <v>9</v>
      </c>
    </row>
    <row r="29" spans="1:14" x14ac:dyDescent="0.2">
      <c r="C29" t="s">
        <v>6</v>
      </c>
      <c r="D29">
        <v>9831</v>
      </c>
      <c r="E29">
        <v>86</v>
      </c>
      <c r="F29">
        <f t="shared" si="3"/>
        <v>27</v>
      </c>
      <c r="I29" t="s">
        <v>47</v>
      </c>
      <c r="J29" t="s">
        <v>8</v>
      </c>
      <c r="L29" t="str">
        <f t="shared" si="0"/>
        <v>2020/02/06</v>
      </c>
      <c r="M29" t="str">
        <f t="shared" si="1"/>
        <v>2020/03/04</v>
      </c>
      <c r="N29" t="s">
        <v>9</v>
      </c>
    </row>
    <row r="30" spans="1:14" x14ac:dyDescent="0.2">
      <c r="C30" t="s">
        <v>6</v>
      </c>
      <c r="D30">
        <v>809</v>
      </c>
      <c r="E30">
        <v>8</v>
      </c>
      <c r="F30">
        <f t="shared" si="3"/>
        <v>4</v>
      </c>
      <c r="I30" t="s">
        <v>37</v>
      </c>
      <c r="J30" t="s">
        <v>38</v>
      </c>
      <c r="L30" t="str">
        <f t="shared" si="0"/>
        <v>2020/02/07</v>
      </c>
      <c r="M30" t="str">
        <f t="shared" si="1"/>
        <v>2020/02/11</v>
      </c>
      <c r="N30" t="s">
        <v>9</v>
      </c>
    </row>
    <row r="31" spans="1:14" hidden="1" x14ac:dyDescent="0.2">
      <c r="C31" t="s">
        <v>10</v>
      </c>
      <c r="D31">
        <v>15425</v>
      </c>
      <c r="E31">
        <v>35</v>
      </c>
      <c r="F31">
        <f t="shared" si="3"/>
        <v>7</v>
      </c>
      <c r="I31" t="s">
        <v>48</v>
      </c>
      <c r="J31" t="s">
        <v>49</v>
      </c>
      <c r="L31" t="str">
        <f t="shared" si="0"/>
        <v>2020/01/02</v>
      </c>
      <c r="M31" t="str">
        <f t="shared" si="1"/>
        <v>2020/01/09</v>
      </c>
      <c r="N31" t="s">
        <v>50</v>
      </c>
    </row>
    <row r="32" spans="1:14" x14ac:dyDescent="0.2">
      <c r="C32" t="s">
        <v>6</v>
      </c>
      <c r="D32">
        <v>1101225</v>
      </c>
      <c r="E32">
        <v>3484</v>
      </c>
      <c r="F32">
        <f t="shared" si="3"/>
        <v>24</v>
      </c>
      <c r="I32" t="s">
        <v>51</v>
      </c>
      <c r="J32" t="s">
        <v>52</v>
      </c>
      <c r="L32" t="str">
        <f t="shared" si="0"/>
        <v>2020/02/06</v>
      </c>
      <c r="M32" t="str">
        <f t="shared" si="1"/>
        <v>2020/03/01</v>
      </c>
      <c r="N32" t="s">
        <v>9</v>
      </c>
    </row>
    <row r="33" spans="3:14" hidden="1" x14ac:dyDescent="0.2">
      <c r="C33" t="s">
        <v>10</v>
      </c>
      <c r="D33">
        <v>186</v>
      </c>
      <c r="E33">
        <v>0</v>
      </c>
      <c r="F33">
        <f t="shared" si="3"/>
        <v>4</v>
      </c>
      <c r="I33" t="s">
        <v>53</v>
      </c>
      <c r="J33" t="s">
        <v>54</v>
      </c>
      <c r="L33" t="str">
        <f t="shared" si="0"/>
        <v>2020/01/17</v>
      </c>
      <c r="M33" t="str">
        <f t="shared" si="1"/>
        <v>2020/01/21</v>
      </c>
      <c r="N33" t="s">
        <v>28</v>
      </c>
    </row>
    <row r="34" spans="3:14" x14ac:dyDescent="0.2">
      <c r="C34" t="s">
        <v>6</v>
      </c>
      <c r="D34">
        <v>97593</v>
      </c>
      <c r="E34">
        <v>932</v>
      </c>
      <c r="F34">
        <f t="shared" si="3"/>
        <v>12</v>
      </c>
      <c r="I34" t="s">
        <v>55</v>
      </c>
      <c r="J34" t="s">
        <v>46</v>
      </c>
      <c r="L34" t="str">
        <f t="shared" si="0"/>
        <v>2020/01/20</v>
      </c>
      <c r="M34" t="str">
        <f t="shared" si="1"/>
        <v>2020/02/01</v>
      </c>
      <c r="N34" t="s">
        <v>9</v>
      </c>
    </row>
    <row r="35" spans="3:14" hidden="1" x14ac:dyDescent="0.2">
      <c r="C35" t="s">
        <v>56</v>
      </c>
      <c r="D35">
        <v>91581</v>
      </c>
      <c r="E35">
        <v>87</v>
      </c>
      <c r="F35">
        <f t="shared" si="3"/>
        <v>41</v>
      </c>
      <c r="I35" t="s">
        <v>57</v>
      </c>
      <c r="J35" t="s">
        <v>58</v>
      </c>
      <c r="L35" t="str">
        <f t="shared" si="0"/>
        <v>2020/01/21</v>
      </c>
      <c r="M35" t="str">
        <f t="shared" si="1"/>
        <v>2020/03/02</v>
      </c>
      <c r="N35" t="s">
        <v>59</v>
      </c>
    </row>
    <row r="36" spans="3:14" x14ac:dyDescent="0.2">
      <c r="C36" t="s">
        <v>6</v>
      </c>
      <c r="D36">
        <v>157166</v>
      </c>
      <c r="E36">
        <v>314</v>
      </c>
      <c r="F36">
        <f t="shared" si="3"/>
        <v>26</v>
      </c>
      <c r="I36" t="s">
        <v>60</v>
      </c>
      <c r="J36" t="s">
        <v>61</v>
      </c>
      <c r="L36" t="str">
        <f t="shared" si="0"/>
        <v>2020/02/04</v>
      </c>
      <c r="M36" t="str">
        <f t="shared" si="1"/>
        <v>2020/03/01</v>
      </c>
      <c r="N36" t="s">
        <v>9</v>
      </c>
    </row>
    <row r="37" spans="3:14" x14ac:dyDescent="0.2">
      <c r="C37" t="s">
        <v>6</v>
      </c>
      <c r="D37">
        <v>5329960</v>
      </c>
      <c r="E37">
        <v>10969</v>
      </c>
      <c r="F37">
        <f t="shared" si="3"/>
        <v>8</v>
      </c>
      <c r="I37" t="s">
        <v>62</v>
      </c>
      <c r="J37" t="s">
        <v>63</v>
      </c>
      <c r="L37" t="str">
        <f t="shared" si="0"/>
        <v>2020/02/08</v>
      </c>
      <c r="M37" t="str">
        <f t="shared" si="1"/>
        <v>2020/02/16</v>
      </c>
      <c r="N37" t="s">
        <v>9</v>
      </c>
    </row>
    <row r="38" spans="3:14" hidden="1" x14ac:dyDescent="0.2">
      <c r="C38" t="s">
        <v>6</v>
      </c>
      <c r="D38">
        <v>85</v>
      </c>
      <c r="E38">
        <v>0</v>
      </c>
      <c r="I38" t="s">
        <v>44</v>
      </c>
      <c r="L38" t="str">
        <f t="shared" si="0"/>
        <v>2020/02/20</v>
      </c>
      <c r="M38" t="e">
        <f t="shared" si="1"/>
        <v>#VALUE!</v>
      </c>
      <c r="N38" t="s">
        <v>9</v>
      </c>
    </row>
    <row r="39" spans="3:14" x14ac:dyDescent="0.2">
      <c r="C39" t="s">
        <v>6</v>
      </c>
      <c r="D39">
        <v>133558</v>
      </c>
      <c r="E39">
        <v>193</v>
      </c>
      <c r="F39">
        <f t="shared" ref="F39:F44" si="4">M39-L39</f>
        <v>35</v>
      </c>
      <c r="I39" t="s">
        <v>64</v>
      </c>
      <c r="J39" t="s">
        <v>65</v>
      </c>
      <c r="L39" t="str">
        <f t="shared" si="0"/>
        <v>2020/01/23</v>
      </c>
      <c r="M39" t="str">
        <f t="shared" si="1"/>
        <v>2020/02/27</v>
      </c>
      <c r="N39" t="s">
        <v>9</v>
      </c>
    </row>
    <row r="40" spans="3:14" x14ac:dyDescent="0.2">
      <c r="C40" t="s">
        <v>6</v>
      </c>
      <c r="D40">
        <v>155378</v>
      </c>
      <c r="E40">
        <v>188</v>
      </c>
      <c r="F40">
        <f t="shared" si="4"/>
        <v>31</v>
      </c>
      <c r="I40" t="s">
        <v>45</v>
      </c>
      <c r="J40" t="s">
        <v>46</v>
      </c>
      <c r="L40" t="str">
        <f t="shared" si="0"/>
        <v>2020/01/01</v>
      </c>
      <c r="M40" t="str">
        <f t="shared" si="1"/>
        <v>2020/02/01</v>
      </c>
      <c r="N40" t="s">
        <v>9</v>
      </c>
    </row>
    <row r="41" spans="3:14" x14ac:dyDescent="0.2">
      <c r="C41" t="s">
        <v>6</v>
      </c>
      <c r="D41">
        <v>79850</v>
      </c>
      <c r="E41">
        <v>182</v>
      </c>
      <c r="F41">
        <f t="shared" si="4"/>
        <v>12</v>
      </c>
      <c r="I41" t="s">
        <v>19</v>
      </c>
      <c r="J41" t="s">
        <v>26</v>
      </c>
      <c r="L41" t="str">
        <f t="shared" si="0"/>
        <v>2020/01/23</v>
      </c>
      <c r="M41" t="str">
        <f t="shared" si="1"/>
        <v>2020/02/04</v>
      </c>
      <c r="N41" t="s">
        <v>9</v>
      </c>
    </row>
    <row r="42" spans="3:14" x14ac:dyDescent="0.2">
      <c r="C42" t="s">
        <v>6</v>
      </c>
      <c r="D42">
        <v>1296931</v>
      </c>
      <c r="E42">
        <v>12577</v>
      </c>
      <c r="F42">
        <f t="shared" si="4"/>
        <v>8</v>
      </c>
      <c r="I42" t="s">
        <v>62</v>
      </c>
      <c r="J42" t="s">
        <v>63</v>
      </c>
      <c r="L42" t="str">
        <f t="shared" si="0"/>
        <v>2020/02/08</v>
      </c>
      <c r="M42" t="str">
        <f t="shared" si="1"/>
        <v>2020/02/16</v>
      </c>
      <c r="N42" t="s">
        <v>9</v>
      </c>
    </row>
    <row r="43" spans="3:14" x14ac:dyDescent="0.2">
      <c r="C43" t="s">
        <v>6</v>
      </c>
      <c r="D43">
        <v>643397</v>
      </c>
      <c r="E43">
        <v>6134</v>
      </c>
      <c r="F43">
        <f t="shared" si="4"/>
        <v>84</v>
      </c>
      <c r="I43" t="s">
        <v>66</v>
      </c>
      <c r="J43" t="s">
        <v>15</v>
      </c>
      <c r="L43" t="str">
        <f t="shared" si="0"/>
        <v>2020/01/08</v>
      </c>
      <c r="M43" t="str">
        <f t="shared" si="1"/>
        <v>2020/04/01</v>
      </c>
      <c r="N43" t="s">
        <v>9</v>
      </c>
    </row>
    <row r="44" spans="3:14" x14ac:dyDescent="0.2">
      <c r="C44" t="s">
        <v>6</v>
      </c>
      <c r="D44">
        <v>171467</v>
      </c>
      <c r="E44">
        <v>686</v>
      </c>
      <c r="F44">
        <f t="shared" si="4"/>
        <v>22</v>
      </c>
      <c r="I44" t="s">
        <v>67</v>
      </c>
      <c r="J44" t="s">
        <v>68</v>
      </c>
      <c r="L44" t="str">
        <f t="shared" si="0"/>
        <v>2020/01/08</v>
      </c>
      <c r="M44" t="str">
        <f t="shared" si="1"/>
        <v>2020/01/30</v>
      </c>
      <c r="N44" t="s">
        <v>9</v>
      </c>
    </row>
    <row r="45" spans="3:14" hidden="1" x14ac:dyDescent="0.2">
      <c r="C45" t="s">
        <v>6</v>
      </c>
      <c r="D45">
        <v>41980</v>
      </c>
      <c r="E45">
        <v>66</v>
      </c>
      <c r="I45" t="s">
        <v>69</v>
      </c>
      <c r="L45" t="str">
        <f t="shared" si="0"/>
        <v>2020/02/21</v>
      </c>
      <c r="M45" t="e">
        <f t="shared" si="1"/>
        <v>#VALUE!</v>
      </c>
      <c r="N45" t="s">
        <v>9</v>
      </c>
    </row>
    <row r="46" spans="3:14" hidden="1" x14ac:dyDescent="0.2">
      <c r="C46" t="s">
        <v>10</v>
      </c>
      <c r="D46">
        <v>3221</v>
      </c>
      <c r="E46">
        <v>1</v>
      </c>
      <c r="I46" t="s">
        <v>36</v>
      </c>
      <c r="L46" t="str">
        <f t="shared" si="0"/>
        <v>2020/01/17</v>
      </c>
      <c r="M46" t="e">
        <f t="shared" si="1"/>
        <v>#VALUE!</v>
      </c>
      <c r="N46" t="s">
        <v>28</v>
      </c>
    </row>
    <row r="47" spans="3:14" x14ac:dyDescent="0.2">
      <c r="C47" t="s">
        <v>6</v>
      </c>
      <c r="D47">
        <v>106031</v>
      </c>
      <c r="E47">
        <v>238</v>
      </c>
      <c r="F47">
        <f>M47-L47</f>
        <v>81</v>
      </c>
      <c r="I47" t="s">
        <v>70</v>
      </c>
      <c r="J47" t="s">
        <v>71</v>
      </c>
      <c r="L47" t="str">
        <f t="shared" si="0"/>
        <v>2019/11/19</v>
      </c>
      <c r="M47" t="str">
        <f t="shared" si="1"/>
        <v>2020/02/08</v>
      </c>
      <c r="N47" t="s">
        <v>9</v>
      </c>
    </row>
    <row r="48" spans="3:14" x14ac:dyDescent="0.2">
      <c r="C48" t="s">
        <v>6</v>
      </c>
      <c r="D48">
        <v>89547</v>
      </c>
      <c r="E48">
        <v>183</v>
      </c>
      <c r="F48">
        <f>M48-L48</f>
        <v>40</v>
      </c>
      <c r="I48" t="s">
        <v>72</v>
      </c>
      <c r="J48" t="s">
        <v>73</v>
      </c>
      <c r="L48" t="str">
        <f t="shared" si="0"/>
        <v>2020/01/03</v>
      </c>
      <c r="M48" t="str">
        <f t="shared" si="1"/>
        <v>2020/02/12</v>
      </c>
      <c r="N48" t="s">
        <v>9</v>
      </c>
    </row>
    <row r="49" spans="3:14" x14ac:dyDescent="0.2">
      <c r="C49" t="s">
        <v>6</v>
      </c>
      <c r="D49">
        <v>5283</v>
      </c>
      <c r="E49">
        <v>20</v>
      </c>
      <c r="F49">
        <f>M49-L49</f>
        <v>10</v>
      </c>
      <c r="I49" t="s">
        <v>74</v>
      </c>
      <c r="J49" t="s">
        <v>75</v>
      </c>
      <c r="L49" t="str">
        <f t="shared" si="0"/>
        <v>2020/01/28</v>
      </c>
      <c r="M49" t="str">
        <f t="shared" si="1"/>
        <v>2020/02/07</v>
      </c>
      <c r="N49" t="s">
        <v>9</v>
      </c>
    </row>
    <row r="50" spans="3:14" x14ac:dyDescent="0.2">
      <c r="C50" t="s">
        <v>6</v>
      </c>
      <c r="D50">
        <v>354</v>
      </c>
      <c r="E50">
        <v>1</v>
      </c>
      <c r="F50">
        <f>M50-L50</f>
        <v>10</v>
      </c>
      <c r="I50" t="s">
        <v>7</v>
      </c>
      <c r="J50" t="s">
        <v>8</v>
      </c>
      <c r="L50" t="str">
        <f t="shared" si="0"/>
        <v>2020/02/23</v>
      </c>
      <c r="M50" t="str">
        <f t="shared" si="1"/>
        <v>2020/03/04</v>
      </c>
      <c r="N50" t="s">
        <v>9</v>
      </c>
    </row>
    <row r="51" spans="3:14" hidden="1" x14ac:dyDescent="0.2">
      <c r="C51" t="s">
        <v>10</v>
      </c>
      <c r="D51">
        <v>3466751</v>
      </c>
      <c r="E51">
        <v>1828</v>
      </c>
      <c r="F51">
        <f>M51-L51</f>
        <v>52</v>
      </c>
      <c r="I51" t="s">
        <v>76</v>
      </c>
      <c r="J51" t="s">
        <v>77</v>
      </c>
      <c r="L51" t="str">
        <f t="shared" si="0"/>
        <v>2020/01/09</v>
      </c>
      <c r="M51" t="str">
        <f t="shared" si="1"/>
        <v>2020/03/01</v>
      </c>
      <c r="N51" t="s">
        <v>78</v>
      </c>
    </row>
    <row r="52" spans="3:14" hidden="1" x14ac:dyDescent="0.2">
      <c r="C52" t="s">
        <v>10</v>
      </c>
      <c r="D52">
        <v>1364</v>
      </c>
      <c r="E52">
        <v>0</v>
      </c>
      <c r="I52" t="s">
        <v>36</v>
      </c>
      <c r="L52" t="str">
        <f t="shared" si="0"/>
        <v>2020/01/17</v>
      </c>
      <c r="M52" t="e">
        <f t="shared" si="1"/>
        <v>#VALUE!</v>
      </c>
      <c r="N52" t="s">
        <v>28</v>
      </c>
    </row>
    <row r="53" spans="3:14" x14ac:dyDescent="0.2">
      <c r="C53" t="s">
        <v>6</v>
      </c>
      <c r="D53">
        <v>281284</v>
      </c>
      <c r="E53">
        <v>560</v>
      </c>
      <c r="F53">
        <f t="shared" ref="F53:F67" si="5">M53-L53</f>
        <v>-2</v>
      </c>
      <c r="I53" t="s">
        <v>79</v>
      </c>
      <c r="J53" t="s">
        <v>80</v>
      </c>
      <c r="L53" t="str">
        <f t="shared" si="0"/>
        <v>2020/01/03</v>
      </c>
      <c r="M53" t="str">
        <f t="shared" si="1"/>
        <v>2020/01/01</v>
      </c>
      <c r="N53" t="s">
        <v>9</v>
      </c>
    </row>
    <row r="54" spans="3:14" x14ac:dyDescent="0.2">
      <c r="C54" t="s">
        <v>6</v>
      </c>
      <c r="D54">
        <v>246311</v>
      </c>
      <c r="E54">
        <v>293</v>
      </c>
      <c r="F54">
        <f t="shared" si="5"/>
        <v>26</v>
      </c>
      <c r="I54" t="s">
        <v>81</v>
      </c>
      <c r="J54" t="s">
        <v>82</v>
      </c>
      <c r="L54" t="str">
        <f t="shared" si="0"/>
        <v>2020/01/06</v>
      </c>
      <c r="M54" t="str">
        <f t="shared" si="1"/>
        <v>2020/02/01</v>
      </c>
      <c r="N54" t="s">
        <v>9</v>
      </c>
    </row>
    <row r="55" spans="3:14" hidden="1" x14ac:dyDescent="0.2">
      <c r="C55" t="s">
        <v>39</v>
      </c>
      <c r="D55">
        <v>45395</v>
      </c>
      <c r="E55">
        <v>93</v>
      </c>
      <c r="F55">
        <f t="shared" si="5"/>
        <v>343</v>
      </c>
      <c r="I55" t="s">
        <v>83</v>
      </c>
      <c r="J55" t="s">
        <v>84</v>
      </c>
      <c r="L55" t="str">
        <f t="shared" si="0"/>
        <v>2020/01/24</v>
      </c>
      <c r="M55" t="str">
        <f t="shared" si="1"/>
        <v>2021/01/01</v>
      </c>
      <c r="N55" t="s">
        <v>41</v>
      </c>
    </row>
    <row r="56" spans="3:14" x14ac:dyDescent="0.2">
      <c r="C56" t="s">
        <v>6</v>
      </c>
      <c r="D56">
        <v>650180</v>
      </c>
      <c r="E56">
        <v>6203</v>
      </c>
      <c r="F56">
        <f t="shared" si="5"/>
        <v>63</v>
      </c>
      <c r="I56" t="s">
        <v>18</v>
      </c>
      <c r="J56" t="s">
        <v>15</v>
      </c>
      <c r="L56" t="str">
        <f t="shared" si="0"/>
        <v>2020/01/29</v>
      </c>
      <c r="M56" t="str">
        <f t="shared" si="1"/>
        <v>2020/04/01</v>
      </c>
      <c r="N56" t="s">
        <v>9</v>
      </c>
    </row>
    <row r="57" spans="3:14" x14ac:dyDescent="0.2">
      <c r="C57" t="s">
        <v>6</v>
      </c>
      <c r="D57">
        <v>13262</v>
      </c>
      <c r="E57">
        <v>134</v>
      </c>
      <c r="F57">
        <f t="shared" si="5"/>
        <v>27</v>
      </c>
      <c r="I57" t="s">
        <v>47</v>
      </c>
      <c r="J57" t="s">
        <v>8</v>
      </c>
      <c r="L57" t="str">
        <f t="shared" si="0"/>
        <v>2020/02/06</v>
      </c>
      <c r="M57" t="str">
        <f t="shared" si="1"/>
        <v>2020/03/04</v>
      </c>
      <c r="N57" t="s">
        <v>9</v>
      </c>
    </row>
    <row r="58" spans="3:14" x14ac:dyDescent="0.2">
      <c r="C58" t="s">
        <v>6</v>
      </c>
      <c r="D58">
        <v>1025953</v>
      </c>
      <c r="E58">
        <v>4973</v>
      </c>
      <c r="F58">
        <f t="shared" si="5"/>
        <v>24</v>
      </c>
      <c r="I58" t="s">
        <v>51</v>
      </c>
      <c r="J58" t="s">
        <v>52</v>
      </c>
      <c r="L58" t="str">
        <f t="shared" si="0"/>
        <v>2020/02/06</v>
      </c>
      <c r="M58" t="str">
        <f t="shared" si="1"/>
        <v>2020/03/01</v>
      </c>
      <c r="N58" t="s">
        <v>9</v>
      </c>
    </row>
    <row r="59" spans="3:14" x14ac:dyDescent="0.2">
      <c r="C59" t="s">
        <v>6</v>
      </c>
      <c r="D59">
        <v>1647552</v>
      </c>
      <c r="E59">
        <v>3250</v>
      </c>
      <c r="F59">
        <f t="shared" si="5"/>
        <v>31</v>
      </c>
      <c r="I59" t="s">
        <v>45</v>
      </c>
      <c r="J59" t="s">
        <v>46</v>
      </c>
      <c r="L59" t="str">
        <f t="shared" si="0"/>
        <v>2020/01/01</v>
      </c>
      <c r="M59" t="str">
        <f t="shared" si="1"/>
        <v>2020/02/01</v>
      </c>
      <c r="N59" t="s">
        <v>9</v>
      </c>
    </row>
    <row r="60" spans="3:14" x14ac:dyDescent="0.2">
      <c r="C60" t="s">
        <v>6</v>
      </c>
      <c r="D60">
        <v>460</v>
      </c>
      <c r="E60">
        <v>5</v>
      </c>
      <c r="F60">
        <f t="shared" si="5"/>
        <v>4</v>
      </c>
      <c r="I60" t="s">
        <v>37</v>
      </c>
      <c r="J60" t="s">
        <v>38</v>
      </c>
      <c r="L60" t="str">
        <f t="shared" si="0"/>
        <v>2020/02/07</v>
      </c>
      <c r="M60" t="str">
        <f t="shared" si="1"/>
        <v>2020/02/11</v>
      </c>
      <c r="N60" t="s">
        <v>9</v>
      </c>
    </row>
    <row r="61" spans="3:14" hidden="1" x14ac:dyDescent="0.2">
      <c r="C61" t="s">
        <v>10</v>
      </c>
      <c r="D61">
        <v>38465</v>
      </c>
      <c r="E61">
        <v>150</v>
      </c>
      <c r="F61">
        <f t="shared" si="5"/>
        <v>50</v>
      </c>
      <c r="I61" t="s">
        <v>85</v>
      </c>
      <c r="J61" t="s">
        <v>86</v>
      </c>
      <c r="L61" t="str">
        <f t="shared" si="0"/>
        <v>2020/02/12</v>
      </c>
      <c r="M61" t="str">
        <f t="shared" si="1"/>
        <v>2020/04/02</v>
      </c>
      <c r="N61" t="s">
        <v>87</v>
      </c>
    </row>
    <row r="62" spans="3:14" hidden="1" x14ac:dyDescent="0.2">
      <c r="C62" t="s">
        <v>56</v>
      </c>
      <c r="D62">
        <v>47165</v>
      </c>
      <c r="E62">
        <v>132</v>
      </c>
      <c r="F62">
        <f t="shared" si="5"/>
        <v>8</v>
      </c>
      <c r="I62" t="s">
        <v>88</v>
      </c>
      <c r="J62" t="s">
        <v>89</v>
      </c>
      <c r="L62" t="str">
        <f t="shared" si="0"/>
        <v>2020/01/20</v>
      </c>
      <c r="M62" t="str">
        <f t="shared" si="1"/>
        <v>2020/01/28</v>
      </c>
      <c r="N62" t="s">
        <v>59</v>
      </c>
    </row>
    <row r="63" spans="3:14" x14ac:dyDescent="0.2">
      <c r="C63" t="s">
        <v>6</v>
      </c>
      <c r="D63">
        <v>11018</v>
      </c>
      <c r="E63">
        <v>99</v>
      </c>
      <c r="F63">
        <f t="shared" si="5"/>
        <v>27</v>
      </c>
      <c r="I63" t="s">
        <v>90</v>
      </c>
      <c r="J63" t="s">
        <v>91</v>
      </c>
      <c r="L63" t="str">
        <f t="shared" si="0"/>
        <v>2020/02/06</v>
      </c>
      <c r="M63" t="str">
        <f t="shared" si="1"/>
        <v>2020/03/04</v>
      </c>
      <c r="N63" t="s">
        <v>9</v>
      </c>
    </row>
    <row r="64" spans="3:14" x14ac:dyDescent="0.2">
      <c r="C64" t="s">
        <v>6</v>
      </c>
      <c r="D64">
        <v>1649468</v>
      </c>
      <c r="E64">
        <v>1989</v>
      </c>
      <c r="F64">
        <f t="shared" si="5"/>
        <v>84</v>
      </c>
      <c r="I64" t="s">
        <v>14</v>
      </c>
      <c r="J64" t="s">
        <v>15</v>
      </c>
      <c r="L64" t="str">
        <f t="shared" si="0"/>
        <v>2020/01/08</v>
      </c>
      <c r="M64" t="str">
        <f t="shared" si="1"/>
        <v>2020/04/01</v>
      </c>
      <c r="N64" t="s">
        <v>9</v>
      </c>
    </row>
    <row r="65" spans="3:14" x14ac:dyDescent="0.2">
      <c r="C65" t="s">
        <v>6</v>
      </c>
      <c r="D65">
        <v>1531835</v>
      </c>
      <c r="E65">
        <v>1856</v>
      </c>
      <c r="F65">
        <f t="shared" si="5"/>
        <v>26</v>
      </c>
      <c r="I65" t="s">
        <v>81</v>
      </c>
      <c r="J65" t="s">
        <v>82</v>
      </c>
      <c r="L65" t="str">
        <f t="shared" si="0"/>
        <v>2020/01/06</v>
      </c>
      <c r="M65" t="str">
        <f t="shared" si="1"/>
        <v>2020/02/01</v>
      </c>
      <c r="N65" t="s">
        <v>9</v>
      </c>
    </row>
    <row r="66" spans="3:14" hidden="1" x14ac:dyDescent="0.2">
      <c r="C66" t="s">
        <v>10</v>
      </c>
      <c r="D66">
        <v>1250003</v>
      </c>
      <c r="E66">
        <v>554</v>
      </c>
      <c r="F66">
        <f t="shared" si="5"/>
        <v>52</v>
      </c>
      <c r="I66" t="s">
        <v>76</v>
      </c>
      <c r="J66" t="s">
        <v>77</v>
      </c>
      <c r="L66" t="str">
        <f t="shared" si="0"/>
        <v>2020/01/09</v>
      </c>
      <c r="M66" t="str">
        <f t="shared" si="1"/>
        <v>2020/03/01</v>
      </c>
      <c r="N66" t="s">
        <v>78</v>
      </c>
    </row>
    <row r="67" spans="3:14" x14ac:dyDescent="0.2">
      <c r="C67" t="s">
        <v>6</v>
      </c>
      <c r="D67">
        <v>161470</v>
      </c>
      <c r="E67">
        <v>177</v>
      </c>
      <c r="F67">
        <f t="shared" si="5"/>
        <v>31</v>
      </c>
      <c r="I67" t="s">
        <v>45</v>
      </c>
      <c r="J67" t="s">
        <v>46</v>
      </c>
      <c r="L67" t="str">
        <f t="shared" ref="L67:L130" si="6">LEFT(I67,FIND(" ",I67)-1)</f>
        <v>2020/01/01</v>
      </c>
      <c r="M67" t="str">
        <f t="shared" ref="M67:M130" si="7">LEFT(J67,FIND(" ",J67)-1)</f>
        <v>2020/02/01</v>
      </c>
      <c r="N67" t="s">
        <v>9</v>
      </c>
    </row>
    <row r="68" spans="3:14" hidden="1" x14ac:dyDescent="0.2">
      <c r="C68" t="s">
        <v>6</v>
      </c>
      <c r="D68">
        <v>52468</v>
      </c>
      <c r="E68">
        <v>82</v>
      </c>
      <c r="I68" t="s">
        <v>92</v>
      </c>
      <c r="L68" t="str">
        <f t="shared" si="6"/>
        <v>2020/01/31</v>
      </c>
      <c r="M68" t="e">
        <f t="shared" si="7"/>
        <v>#VALUE!</v>
      </c>
      <c r="N68" t="s">
        <v>9</v>
      </c>
    </row>
    <row r="69" spans="3:14" hidden="1" x14ac:dyDescent="0.2">
      <c r="C69" t="s">
        <v>6</v>
      </c>
      <c r="D69">
        <v>27500</v>
      </c>
      <c r="E69">
        <v>27</v>
      </c>
      <c r="I69" t="s">
        <v>93</v>
      </c>
      <c r="L69" t="str">
        <f t="shared" si="6"/>
        <v>2020/01/07</v>
      </c>
      <c r="M69" t="e">
        <f t="shared" si="7"/>
        <v>#VALUE!</v>
      </c>
      <c r="N69" t="s">
        <v>9</v>
      </c>
    </row>
    <row r="70" spans="3:14" x14ac:dyDescent="0.2">
      <c r="C70" t="s">
        <v>6</v>
      </c>
      <c r="D70">
        <v>220837</v>
      </c>
      <c r="E70">
        <v>2114</v>
      </c>
      <c r="F70">
        <f>M70-L70</f>
        <v>29</v>
      </c>
      <c r="I70" t="s">
        <v>94</v>
      </c>
      <c r="J70" t="s">
        <v>61</v>
      </c>
      <c r="L70" t="str">
        <f t="shared" si="6"/>
        <v>2020/02/01</v>
      </c>
      <c r="M70" t="str">
        <f t="shared" si="7"/>
        <v>2020/03/01</v>
      </c>
      <c r="N70" t="s">
        <v>9</v>
      </c>
    </row>
    <row r="71" spans="3:14" hidden="1" x14ac:dyDescent="0.2">
      <c r="C71" t="s">
        <v>10</v>
      </c>
      <c r="D71">
        <v>24396</v>
      </c>
      <c r="E71">
        <v>73</v>
      </c>
      <c r="F71">
        <f>M71-L71</f>
        <v>17</v>
      </c>
      <c r="I71" t="s">
        <v>95</v>
      </c>
      <c r="J71" t="s">
        <v>96</v>
      </c>
      <c r="L71" t="str">
        <f t="shared" si="6"/>
        <v>2020/01/08</v>
      </c>
      <c r="M71" t="str">
        <f t="shared" si="7"/>
        <v>2020/01/25</v>
      </c>
      <c r="N71" t="s">
        <v>87</v>
      </c>
    </row>
    <row r="72" spans="3:14" hidden="1" x14ac:dyDescent="0.2">
      <c r="C72" t="s">
        <v>10</v>
      </c>
      <c r="D72">
        <v>2965</v>
      </c>
      <c r="E72">
        <v>1</v>
      </c>
      <c r="I72" t="s">
        <v>36</v>
      </c>
      <c r="L72" t="str">
        <f t="shared" si="6"/>
        <v>2020/01/17</v>
      </c>
      <c r="M72" t="e">
        <f t="shared" si="7"/>
        <v>#VALUE!</v>
      </c>
      <c r="N72" t="s">
        <v>28</v>
      </c>
    </row>
    <row r="73" spans="3:14" hidden="1" x14ac:dyDescent="0.2">
      <c r="C73" t="s">
        <v>56</v>
      </c>
      <c r="D73">
        <v>11819</v>
      </c>
      <c r="E73">
        <v>15</v>
      </c>
      <c r="F73">
        <f t="shared" ref="F73:F80" si="8">M73-L73</f>
        <v>8</v>
      </c>
      <c r="I73" t="s">
        <v>97</v>
      </c>
      <c r="J73" t="s">
        <v>98</v>
      </c>
      <c r="L73" t="str">
        <f t="shared" si="6"/>
        <v>2020/01/20</v>
      </c>
      <c r="M73" t="str">
        <f t="shared" si="7"/>
        <v>2020/01/28</v>
      </c>
      <c r="N73" t="s">
        <v>59</v>
      </c>
    </row>
    <row r="74" spans="3:14" x14ac:dyDescent="0.2">
      <c r="C74" t="s">
        <v>6</v>
      </c>
      <c r="D74">
        <v>2419734</v>
      </c>
      <c r="E74">
        <v>827</v>
      </c>
      <c r="F74">
        <f t="shared" si="8"/>
        <v>24</v>
      </c>
      <c r="I74" t="s">
        <v>99</v>
      </c>
      <c r="J74" t="s">
        <v>100</v>
      </c>
      <c r="L74" t="str">
        <f t="shared" si="6"/>
        <v>2020/02/05</v>
      </c>
      <c r="M74" t="str">
        <f t="shared" si="7"/>
        <v>2020/02/29</v>
      </c>
      <c r="N74" t="s">
        <v>9</v>
      </c>
    </row>
    <row r="75" spans="3:14" x14ac:dyDescent="0.2">
      <c r="C75" t="s">
        <v>6</v>
      </c>
      <c r="D75">
        <v>13346</v>
      </c>
      <c r="E75">
        <v>125</v>
      </c>
      <c r="F75">
        <f t="shared" si="8"/>
        <v>27</v>
      </c>
      <c r="I75" t="s">
        <v>47</v>
      </c>
      <c r="J75" t="s">
        <v>8</v>
      </c>
      <c r="L75" t="str">
        <f t="shared" si="6"/>
        <v>2020/02/06</v>
      </c>
      <c r="M75" t="str">
        <f t="shared" si="7"/>
        <v>2020/03/04</v>
      </c>
      <c r="N75" t="s">
        <v>9</v>
      </c>
    </row>
    <row r="76" spans="3:14" x14ac:dyDescent="0.2">
      <c r="C76" t="s">
        <v>6</v>
      </c>
      <c r="D76">
        <v>649741</v>
      </c>
      <c r="E76">
        <v>6200</v>
      </c>
      <c r="F76">
        <f t="shared" si="8"/>
        <v>63</v>
      </c>
      <c r="I76" t="s">
        <v>18</v>
      </c>
      <c r="J76" t="s">
        <v>15</v>
      </c>
      <c r="L76" t="str">
        <f t="shared" si="6"/>
        <v>2020/01/29</v>
      </c>
      <c r="M76" t="str">
        <f t="shared" si="7"/>
        <v>2020/04/01</v>
      </c>
      <c r="N76" t="s">
        <v>9</v>
      </c>
    </row>
    <row r="77" spans="3:14" x14ac:dyDescent="0.2">
      <c r="C77" t="s">
        <v>6</v>
      </c>
      <c r="D77">
        <v>87263</v>
      </c>
      <c r="E77">
        <v>148</v>
      </c>
      <c r="F77">
        <f t="shared" si="8"/>
        <v>12</v>
      </c>
      <c r="I77" t="s">
        <v>19</v>
      </c>
      <c r="J77" t="s">
        <v>20</v>
      </c>
      <c r="L77" t="str">
        <f t="shared" si="6"/>
        <v>2020/01/23</v>
      </c>
      <c r="M77" t="str">
        <f t="shared" si="7"/>
        <v>2020/02/04</v>
      </c>
      <c r="N77" t="s">
        <v>9</v>
      </c>
    </row>
    <row r="78" spans="3:14" x14ac:dyDescent="0.2">
      <c r="C78" t="s">
        <v>6</v>
      </c>
      <c r="D78">
        <v>22156</v>
      </c>
      <c r="E78">
        <v>50</v>
      </c>
      <c r="F78">
        <f t="shared" si="8"/>
        <v>40</v>
      </c>
      <c r="I78" t="s">
        <v>72</v>
      </c>
      <c r="J78" t="s">
        <v>73</v>
      </c>
      <c r="L78" t="str">
        <f t="shared" si="6"/>
        <v>2020/01/03</v>
      </c>
      <c r="M78" t="str">
        <f t="shared" si="7"/>
        <v>2020/02/12</v>
      </c>
      <c r="N78" t="s">
        <v>9</v>
      </c>
    </row>
    <row r="79" spans="3:14" x14ac:dyDescent="0.2">
      <c r="C79" t="s">
        <v>6</v>
      </c>
      <c r="D79">
        <v>18408</v>
      </c>
      <c r="E79">
        <v>32</v>
      </c>
      <c r="F79">
        <f t="shared" si="8"/>
        <v>226</v>
      </c>
      <c r="I79" t="s">
        <v>21</v>
      </c>
      <c r="J79" t="s">
        <v>22</v>
      </c>
      <c r="L79" t="str">
        <f t="shared" si="6"/>
        <v>2019/10/18</v>
      </c>
      <c r="M79" t="str">
        <f t="shared" si="7"/>
        <v>2020/05/31</v>
      </c>
      <c r="N79" t="s">
        <v>9</v>
      </c>
    </row>
    <row r="80" spans="3:14" x14ac:dyDescent="0.2">
      <c r="C80" t="s">
        <v>6</v>
      </c>
      <c r="D80">
        <v>14441</v>
      </c>
      <c r="E80">
        <v>32</v>
      </c>
      <c r="F80">
        <f t="shared" si="8"/>
        <v>16</v>
      </c>
      <c r="I80" t="s">
        <v>101</v>
      </c>
      <c r="J80" t="s">
        <v>102</v>
      </c>
      <c r="L80" t="str">
        <f t="shared" si="6"/>
        <v>2020/02/12</v>
      </c>
      <c r="M80" t="str">
        <f t="shared" si="7"/>
        <v>2020/02/28</v>
      </c>
      <c r="N80" t="s">
        <v>9</v>
      </c>
    </row>
    <row r="81" spans="3:14" hidden="1" x14ac:dyDescent="0.2">
      <c r="C81" t="s">
        <v>10</v>
      </c>
      <c r="D81">
        <v>853</v>
      </c>
      <c r="E81">
        <v>0</v>
      </c>
      <c r="I81" t="s">
        <v>36</v>
      </c>
      <c r="L81" t="str">
        <f t="shared" si="6"/>
        <v>2020/01/17</v>
      </c>
      <c r="M81" t="e">
        <f t="shared" si="7"/>
        <v>#VALUE!</v>
      </c>
      <c r="N81" t="s">
        <v>28</v>
      </c>
    </row>
    <row r="82" spans="3:14" x14ac:dyDescent="0.2">
      <c r="C82" t="s">
        <v>6</v>
      </c>
      <c r="D82">
        <v>144311</v>
      </c>
      <c r="E82">
        <v>1121</v>
      </c>
      <c r="F82">
        <f>M82-L82</f>
        <v>27</v>
      </c>
      <c r="I82" t="s">
        <v>103</v>
      </c>
      <c r="J82" t="s">
        <v>24</v>
      </c>
      <c r="L82" t="str">
        <f t="shared" si="6"/>
        <v>2020/02/06</v>
      </c>
      <c r="M82" t="str">
        <f t="shared" si="7"/>
        <v>2020/03/04</v>
      </c>
      <c r="N82" t="s">
        <v>9</v>
      </c>
    </row>
    <row r="83" spans="3:14" hidden="1" x14ac:dyDescent="0.2">
      <c r="C83" t="s">
        <v>10</v>
      </c>
      <c r="D83">
        <v>1086</v>
      </c>
      <c r="E83">
        <v>0</v>
      </c>
      <c r="I83" t="s">
        <v>36</v>
      </c>
      <c r="L83" t="str">
        <f t="shared" si="6"/>
        <v>2020/01/17</v>
      </c>
      <c r="M83" t="e">
        <f t="shared" si="7"/>
        <v>#VALUE!</v>
      </c>
      <c r="N83" t="s">
        <v>28</v>
      </c>
    </row>
    <row r="84" spans="3:14" x14ac:dyDescent="0.2">
      <c r="C84" t="s">
        <v>6</v>
      </c>
      <c r="D84">
        <v>17360</v>
      </c>
      <c r="E84">
        <v>35</v>
      </c>
      <c r="F84">
        <f>M84-L84</f>
        <v>40</v>
      </c>
      <c r="I84" t="s">
        <v>72</v>
      </c>
      <c r="J84" t="s">
        <v>73</v>
      </c>
      <c r="L84" t="str">
        <f t="shared" si="6"/>
        <v>2020/01/03</v>
      </c>
      <c r="M84" t="str">
        <f t="shared" si="7"/>
        <v>2020/02/12</v>
      </c>
      <c r="N84" t="s">
        <v>9</v>
      </c>
    </row>
    <row r="85" spans="3:14" hidden="1" x14ac:dyDescent="0.2">
      <c r="C85" t="s">
        <v>10</v>
      </c>
      <c r="D85">
        <v>2266</v>
      </c>
      <c r="E85">
        <v>1</v>
      </c>
      <c r="I85" t="s">
        <v>36</v>
      </c>
      <c r="L85" t="str">
        <f t="shared" si="6"/>
        <v>2020/01/17</v>
      </c>
      <c r="M85" t="e">
        <f t="shared" si="7"/>
        <v>#VALUE!</v>
      </c>
      <c r="N85" t="s">
        <v>28</v>
      </c>
    </row>
    <row r="86" spans="3:14" x14ac:dyDescent="0.2">
      <c r="C86" t="s">
        <v>6</v>
      </c>
      <c r="D86">
        <v>300469</v>
      </c>
      <c r="E86">
        <v>555</v>
      </c>
      <c r="F86">
        <f>M86-L86</f>
        <v>32</v>
      </c>
      <c r="I86" t="s">
        <v>72</v>
      </c>
      <c r="J86" t="s">
        <v>104</v>
      </c>
      <c r="L86" t="str">
        <f t="shared" si="6"/>
        <v>2020/01/03</v>
      </c>
      <c r="M86" t="str">
        <f t="shared" si="7"/>
        <v>2020/02/04</v>
      </c>
      <c r="N86" t="s">
        <v>9</v>
      </c>
    </row>
    <row r="87" spans="3:14" hidden="1" x14ac:dyDescent="0.2">
      <c r="C87" t="s">
        <v>10</v>
      </c>
      <c r="D87">
        <v>30968</v>
      </c>
      <c r="E87">
        <v>29</v>
      </c>
      <c r="F87">
        <f>M87-L87</f>
        <v>1</v>
      </c>
      <c r="I87" t="s">
        <v>105</v>
      </c>
      <c r="J87" t="s">
        <v>106</v>
      </c>
      <c r="L87" t="str">
        <f t="shared" si="6"/>
        <v>2020/01/16</v>
      </c>
      <c r="M87" t="str">
        <f t="shared" si="7"/>
        <v>2020/01/17</v>
      </c>
      <c r="N87" t="s">
        <v>28</v>
      </c>
    </row>
    <row r="88" spans="3:14" hidden="1" x14ac:dyDescent="0.2">
      <c r="C88" t="s">
        <v>6</v>
      </c>
      <c r="D88">
        <v>27683</v>
      </c>
      <c r="E88">
        <v>56</v>
      </c>
      <c r="I88" t="s">
        <v>107</v>
      </c>
      <c r="L88" t="str">
        <f t="shared" si="6"/>
        <v>2020/02/21</v>
      </c>
      <c r="M88" t="e">
        <f t="shared" si="7"/>
        <v>#VALUE!</v>
      </c>
      <c r="N88" t="s">
        <v>9</v>
      </c>
    </row>
    <row r="89" spans="3:14" hidden="1" x14ac:dyDescent="0.2">
      <c r="C89" t="s">
        <v>6</v>
      </c>
      <c r="D89">
        <v>414221</v>
      </c>
      <c r="E89">
        <v>169</v>
      </c>
      <c r="I89" t="s">
        <v>108</v>
      </c>
      <c r="L89" t="str">
        <f t="shared" si="6"/>
        <v>2020/02/18</v>
      </c>
      <c r="M89" t="e">
        <f t="shared" si="7"/>
        <v>#VALUE!</v>
      </c>
      <c r="N89" t="s">
        <v>9</v>
      </c>
    </row>
    <row r="90" spans="3:14" x14ac:dyDescent="0.2">
      <c r="C90" t="s">
        <v>6</v>
      </c>
      <c r="D90">
        <v>227745</v>
      </c>
      <c r="E90">
        <v>878</v>
      </c>
      <c r="F90">
        <f>M90-L90</f>
        <v>14</v>
      </c>
      <c r="I90" t="s">
        <v>109</v>
      </c>
      <c r="J90" t="s">
        <v>82</v>
      </c>
      <c r="L90" t="str">
        <f t="shared" si="6"/>
        <v>2020/01/18</v>
      </c>
      <c r="M90" t="str">
        <f t="shared" si="7"/>
        <v>2020/02/01</v>
      </c>
      <c r="N90" t="s">
        <v>9</v>
      </c>
    </row>
    <row r="91" spans="3:14" hidden="1" x14ac:dyDescent="0.2">
      <c r="C91" t="s">
        <v>6</v>
      </c>
      <c r="D91">
        <v>28945</v>
      </c>
      <c r="E91">
        <v>78</v>
      </c>
      <c r="I91" t="s">
        <v>110</v>
      </c>
      <c r="L91" t="str">
        <f t="shared" si="6"/>
        <v>2020/02/03</v>
      </c>
      <c r="M91" t="e">
        <f t="shared" si="7"/>
        <v>#VALUE!</v>
      </c>
      <c r="N91" t="s">
        <v>9</v>
      </c>
    </row>
    <row r="92" spans="3:14" x14ac:dyDescent="0.2">
      <c r="C92" t="s">
        <v>6</v>
      </c>
      <c r="D92">
        <v>248703</v>
      </c>
      <c r="E92">
        <v>275</v>
      </c>
      <c r="F92">
        <f t="shared" ref="F92:F97" si="9">M92-L92</f>
        <v>2</v>
      </c>
      <c r="I92" t="s">
        <v>111</v>
      </c>
      <c r="J92" t="s">
        <v>112</v>
      </c>
      <c r="L92" t="str">
        <f t="shared" si="6"/>
        <v>2020/01/29</v>
      </c>
      <c r="M92" t="str">
        <f t="shared" si="7"/>
        <v>2020/01/31</v>
      </c>
      <c r="N92" t="s">
        <v>9</v>
      </c>
    </row>
    <row r="93" spans="3:14" x14ac:dyDescent="0.2">
      <c r="C93" t="s">
        <v>6</v>
      </c>
      <c r="D93">
        <v>102995</v>
      </c>
      <c r="E93">
        <v>130</v>
      </c>
      <c r="F93">
        <f t="shared" si="9"/>
        <v>287</v>
      </c>
      <c r="I93" t="s">
        <v>113</v>
      </c>
      <c r="J93" t="s">
        <v>114</v>
      </c>
      <c r="L93" t="str">
        <f t="shared" si="6"/>
        <v>2019/11/18</v>
      </c>
      <c r="M93" t="str">
        <f t="shared" si="7"/>
        <v>2020/08/31</v>
      </c>
      <c r="N93" t="s">
        <v>9</v>
      </c>
    </row>
    <row r="94" spans="3:14" hidden="1" x14ac:dyDescent="0.2">
      <c r="C94" t="s">
        <v>10</v>
      </c>
      <c r="D94">
        <v>714927</v>
      </c>
      <c r="E94">
        <v>1002</v>
      </c>
      <c r="F94">
        <f t="shared" si="9"/>
        <v>11</v>
      </c>
      <c r="I94" t="s">
        <v>33</v>
      </c>
      <c r="J94" t="s">
        <v>34</v>
      </c>
      <c r="L94" t="str">
        <f t="shared" si="6"/>
        <v>2020/02/03</v>
      </c>
      <c r="M94" t="str">
        <f t="shared" si="7"/>
        <v>2020/02/14</v>
      </c>
      <c r="N94" t="s">
        <v>35</v>
      </c>
    </row>
    <row r="95" spans="3:14" x14ac:dyDescent="0.2">
      <c r="C95" t="s">
        <v>6</v>
      </c>
      <c r="D95">
        <v>2312929</v>
      </c>
      <c r="E95">
        <v>5545</v>
      </c>
      <c r="F95">
        <f t="shared" si="9"/>
        <v>51</v>
      </c>
      <c r="I95" t="s">
        <v>14</v>
      </c>
      <c r="J95" t="s">
        <v>115</v>
      </c>
      <c r="L95" t="str">
        <f t="shared" si="6"/>
        <v>2020/01/08</v>
      </c>
      <c r="M95" t="str">
        <f t="shared" si="7"/>
        <v>2020/02/28</v>
      </c>
      <c r="N95" t="s">
        <v>9</v>
      </c>
    </row>
    <row r="96" spans="3:14" x14ac:dyDescent="0.2">
      <c r="C96" t="s">
        <v>6</v>
      </c>
      <c r="D96">
        <v>9549</v>
      </c>
      <c r="E96">
        <v>97</v>
      </c>
      <c r="F96">
        <f t="shared" si="9"/>
        <v>27</v>
      </c>
      <c r="I96" t="s">
        <v>90</v>
      </c>
      <c r="J96" t="s">
        <v>91</v>
      </c>
      <c r="L96" t="str">
        <f t="shared" si="6"/>
        <v>2020/02/06</v>
      </c>
      <c r="M96" t="str">
        <f t="shared" si="7"/>
        <v>2020/03/04</v>
      </c>
      <c r="N96" t="s">
        <v>9</v>
      </c>
    </row>
    <row r="97" spans="3:14" x14ac:dyDescent="0.2">
      <c r="C97" t="s">
        <v>6</v>
      </c>
      <c r="D97">
        <v>47747</v>
      </c>
      <c r="E97">
        <v>80</v>
      </c>
      <c r="F97">
        <f t="shared" si="9"/>
        <v>40</v>
      </c>
      <c r="I97" t="s">
        <v>72</v>
      </c>
      <c r="J97" t="s">
        <v>73</v>
      </c>
      <c r="L97" t="str">
        <f t="shared" si="6"/>
        <v>2020/01/03</v>
      </c>
      <c r="M97" t="str">
        <f t="shared" si="7"/>
        <v>2020/02/12</v>
      </c>
      <c r="N97" t="s">
        <v>9</v>
      </c>
    </row>
    <row r="98" spans="3:14" hidden="1" x14ac:dyDescent="0.2">
      <c r="C98" t="s">
        <v>10</v>
      </c>
      <c r="D98">
        <v>1859</v>
      </c>
      <c r="E98">
        <v>1</v>
      </c>
      <c r="I98" t="s">
        <v>36</v>
      </c>
      <c r="L98" t="str">
        <f t="shared" si="6"/>
        <v>2020/01/17</v>
      </c>
      <c r="M98" t="e">
        <f t="shared" si="7"/>
        <v>#VALUE!</v>
      </c>
      <c r="N98" t="s">
        <v>28</v>
      </c>
    </row>
    <row r="99" spans="3:14" hidden="1" x14ac:dyDescent="0.2">
      <c r="C99" t="s">
        <v>10</v>
      </c>
      <c r="D99">
        <v>1216</v>
      </c>
      <c r="E99">
        <v>0</v>
      </c>
      <c r="I99" t="s">
        <v>36</v>
      </c>
      <c r="L99" t="str">
        <f t="shared" si="6"/>
        <v>2020/01/17</v>
      </c>
      <c r="M99" t="e">
        <f t="shared" si="7"/>
        <v>#VALUE!</v>
      </c>
      <c r="N99" t="s">
        <v>28</v>
      </c>
    </row>
    <row r="100" spans="3:14" x14ac:dyDescent="0.2">
      <c r="C100" t="s">
        <v>6</v>
      </c>
      <c r="D100">
        <v>98222</v>
      </c>
      <c r="E100">
        <v>800</v>
      </c>
      <c r="F100">
        <f t="shared" ref="F100:F110" si="10">M100-L100</f>
        <v>27</v>
      </c>
      <c r="I100" t="s">
        <v>103</v>
      </c>
      <c r="J100" t="s">
        <v>24</v>
      </c>
      <c r="L100" t="str">
        <f t="shared" si="6"/>
        <v>2020/02/06</v>
      </c>
      <c r="M100" t="str">
        <f t="shared" si="7"/>
        <v>2020/03/04</v>
      </c>
      <c r="N100" t="s">
        <v>9</v>
      </c>
    </row>
    <row r="101" spans="3:14" x14ac:dyDescent="0.2">
      <c r="C101" t="s">
        <v>39</v>
      </c>
      <c r="D101">
        <v>1121298</v>
      </c>
      <c r="E101">
        <v>3320</v>
      </c>
      <c r="F101">
        <f t="shared" si="10"/>
        <v>28</v>
      </c>
      <c r="I101" t="s">
        <v>116</v>
      </c>
      <c r="J101" t="s">
        <v>117</v>
      </c>
      <c r="L101" t="str">
        <f t="shared" si="6"/>
        <v>2020/01/13</v>
      </c>
      <c r="M101" t="str">
        <f t="shared" si="7"/>
        <v>2020/02/10</v>
      </c>
      <c r="N101" t="s">
        <v>9</v>
      </c>
    </row>
    <row r="102" spans="3:14" hidden="1" x14ac:dyDescent="0.2">
      <c r="C102" t="s">
        <v>10</v>
      </c>
      <c r="D102">
        <v>16856</v>
      </c>
      <c r="E102">
        <v>8</v>
      </c>
      <c r="F102">
        <f t="shared" si="10"/>
        <v>0</v>
      </c>
      <c r="I102" t="s">
        <v>118</v>
      </c>
      <c r="J102" t="s">
        <v>119</v>
      </c>
      <c r="L102" t="str">
        <f t="shared" si="6"/>
        <v>2020/01/13</v>
      </c>
      <c r="M102" t="str">
        <f t="shared" si="7"/>
        <v>2020/01/13</v>
      </c>
      <c r="N102" t="s">
        <v>28</v>
      </c>
    </row>
    <row r="103" spans="3:14" x14ac:dyDescent="0.2">
      <c r="C103" t="s">
        <v>6</v>
      </c>
      <c r="D103">
        <v>1190775</v>
      </c>
      <c r="E103">
        <v>11547</v>
      </c>
      <c r="F103">
        <f t="shared" si="10"/>
        <v>8</v>
      </c>
      <c r="I103" t="s">
        <v>62</v>
      </c>
      <c r="J103" t="s">
        <v>63</v>
      </c>
      <c r="L103" t="str">
        <f t="shared" si="6"/>
        <v>2020/02/08</v>
      </c>
      <c r="M103" t="str">
        <f t="shared" si="7"/>
        <v>2020/02/16</v>
      </c>
      <c r="N103" t="s">
        <v>9</v>
      </c>
    </row>
    <row r="104" spans="3:14" x14ac:dyDescent="0.2">
      <c r="C104" t="s">
        <v>6</v>
      </c>
      <c r="D104">
        <v>2505812</v>
      </c>
      <c r="E104">
        <v>24496</v>
      </c>
      <c r="F104">
        <f t="shared" si="10"/>
        <v>8</v>
      </c>
      <c r="I104" t="s">
        <v>62</v>
      </c>
      <c r="J104" t="s">
        <v>63</v>
      </c>
      <c r="L104" t="str">
        <f t="shared" si="6"/>
        <v>2020/02/08</v>
      </c>
      <c r="M104" t="str">
        <f t="shared" si="7"/>
        <v>2020/02/16</v>
      </c>
      <c r="N104" t="s">
        <v>9</v>
      </c>
    </row>
    <row r="105" spans="3:14" hidden="1" x14ac:dyDescent="0.2">
      <c r="C105" t="s">
        <v>10</v>
      </c>
      <c r="D105">
        <v>64804</v>
      </c>
      <c r="E105">
        <v>39</v>
      </c>
      <c r="F105">
        <f t="shared" si="10"/>
        <v>1</v>
      </c>
      <c r="I105" t="s">
        <v>120</v>
      </c>
      <c r="J105" t="s">
        <v>121</v>
      </c>
      <c r="L105" t="str">
        <f t="shared" si="6"/>
        <v>2020/01/19</v>
      </c>
      <c r="M105" t="str">
        <f t="shared" si="7"/>
        <v>2020/01/20</v>
      </c>
      <c r="N105" t="s">
        <v>28</v>
      </c>
    </row>
    <row r="106" spans="3:14" x14ac:dyDescent="0.2">
      <c r="C106" t="s">
        <v>6</v>
      </c>
      <c r="D106">
        <v>3366238</v>
      </c>
      <c r="E106">
        <v>32800</v>
      </c>
      <c r="F106">
        <f t="shared" si="10"/>
        <v>8</v>
      </c>
      <c r="I106" t="s">
        <v>62</v>
      </c>
      <c r="J106" t="s">
        <v>63</v>
      </c>
      <c r="L106" t="str">
        <f t="shared" si="6"/>
        <v>2020/02/08</v>
      </c>
      <c r="M106" t="str">
        <f t="shared" si="7"/>
        <v>2020/02/16</v>
      </c>
      <c r="N106" t="s">
        <v>9</v>
      </c>
    </row>
    <row r="107" spans="3:14" x14ac:dyDescent="0.2">
      <c r="C107" t="s">
        <v>6</v>
      </c>
      <c r="D107">
        <v>124783</v>
      </c>
      <c r="E107">
        <v>211</v>
      </c>
      <c r="F107">
        <f t="shared" si="10"/>
        <v>12</v>
      </c>
      <c r="I107" t="s">
        <v>19</v>
      </c>
      <c r="J107" t="s">
        <v>20</v>
      </c>
      <c r="L107" t="str">
        <f t="shared" si="6"/>
        <v>2020/01/23</v>
      </c>
      <c r="M107" t="str">
        <f t="shared" si="7"/>
        <v>2020/02/04</v>
      </c>
      <c r="N107" t="s">
        <v>9</v>
      </c>
    </row>
    <row r="108" spans="3:14" hidden="1" x14ac:dyDescent="0.2">
      <c r="C108" t="s">
        <v>10</v>
      </c>
      <c r="D108">
        <v>579461</v>
      </c>
      <c r="E108">
        <v>440</v>
      </c>
      <c r="F108">
        <f t="shared" si="10"/>
        <v>4</v>
      </c>
      <c r="I108" t="s">
        <v>122</v>
      </c>
      <c r="J108" t="s">
        <v>123</v>
      </c>
      <c r="L108" t="str">
        <f t="shared" si="6"/>
        <v>2020/02/04</v>
      </c>
      <c r="M108" t="str">
        <f t="shared" si="7"/>
        <v>2020/02/08</v>
      </c>
      <c r="N108" t="s">
        <v>28</v>
      </c>
    </row>
    <row r="109" spans="3:14" hidden="1" x14ac:dyDescent="0.2">
      <c r="C109" t="s">
        <v>10</v>
      </c>
      <c r="D109">
        <v>51085</v>
      </c>
      <c r="E109">
        <v>194</v>
      </c>
      <c r="F109">
        <f t="shared" si="10"/>
        <v>50</v>
      </c>
      <c r="I109" t="s">
        <v>85</v>
      </c>
      <c r="J109" t="s">
        <v>86</v>
      </c>
      <c r="L109" t="str">
        <f t="shared" si="6"/>
        <v>2020/02/12</v>
      </c>
      <c r="M109" t="str">
        <f t="shared" si="7"/>
        <v>2020/04/02</v>
      </c>
      <c r="N109" t="s">
        <v>87</v>
      </c>
    </row>
    <row r="110" spans="3:14" hidden="1" x14ac:dyDescent="0.2">
      <c r="C110" t="s">
        <v>39</v>
      </c>
      <c r="D110">
        <v>5074769</v>
      </c>
      <c r="E110">
        <v>11525</v>
      </c>
      <c r="F110">
        <f t="shared" si="10"/>
        <v>343</v>
      </c>
      <c r="I110" t="s">
        <v>83</v>
      </c>
      <c r="J110" t="s">
        <v>84</v>
      </c>
      <c r="L110" t="str">
        <f t="shared" si="6"/>
        <v>2020/01/24</v>
      </c>
      <c r="M110" t="str">
        <f t="shared" si="7"/>
        <v>2021/01/01</v>
      </c>
      <c r="N110" t="s">
        <v>41</v>
      </c>
    </row>
    <row r="111" spans="3:14" hidden="1" x14ac:dyDescent="0.2">
      <c r="C111" t="s">
        <v>10</v>
      </c>
      <c r="D111">
        <v>1529</v>
      </c>
      <c r="E111">
        <v>1</v>
      </c>
      <c r="I111" t="s">
        <v>36</v>
      </c>
      <c r="L111" t="str">
        <f t="shared" si="6"/>
        <v>2020/01/17</v>
      </c>
      <c r="M111" t="e">
        <f t="shared" si="7"/>
        <v>#VALUE!</v>
      </c>
      <c r="N111" t="s">
        <v>28</v>
      </c>
    </row>
    <row r="112" spans="3:14" x14ac:dyDescent="0.2">
      <c r="C112" t="s">
        <v>6</v>
      </c>
      <c r="D112">
        <v>792413</v>
      </c>
      <c r="E112">
        <v>1963</v>
      </c>
      <c r="F112">
        <f>M112-L112</f>
        <v>84</v>
      </c>
      <c r="I112" t="s">
        <v>14</v>
      </c>
      <c r="J112" t="s">
        <v>15</v>
      </c>
      <c r="L112" t="str">
        <f t="shared" si="6"/>
        <v>2020/01/08</v>
      </c>
      <c r="M112" t="str">
        <f t="shared" si="7"/>
        <v>2020/04/01</v>
      </c>
      <c r="N112" t="s">
        <v>9</v>
      </c>
    </row>
    <row r="113" spans="1:14" hidden="1" x14ac:dyDescent="0.2">
      <c r="C113" t="s">
        <v>6</v>
      </c>
      <c r="D113">
        <v>20934</v>
      </c>
      <c r="E113">
        <v>60</v>
      </c>
      <c r="I113" t="s">
        <v>124</v>
      </c>
      <c r="L113" t="str">
        <f t="shared" si="6"/>
        <v>2020/02/17</v>
      </c>
      <c r="M113" t="e">
        <f t="shared" si="7"/>
        <v>#VALUE!</v>
      </c>
      <c r="N113" t="s">
        <v>9</v>
      </c>
    </row>
    <row r="114" spans="1:14" x14ac:dyDescent="0.2">
      <c r="C114" t="s">
        <v>6</v>
      </c>
      <c r="D114">
        <v>49759</v>
      </c>
      <c r="E114">
        <v>80</v>
      </c>
      <c r="F114">
        <f>M114-L114</f>
        <v>7</v>
      </c>
      <c r="I114" t="s">
        <v>125</v>
      </c>
      <c r="J114" t="s">
        <v>126</v>
      </c>
      <c r="L114" t="str">
        <f t="shared" si="6"/>
        <v>2020/01/23</v>
      </c>
      <c r="M114" t="str">
        <f t="shared" si="7"/>
        <v>2020/01/30</v>
      </c>
      <c r="N114" t="s">
        <v>9</v>
      </c>
    </row>
    <row r="115" spans="1:14" hidden="1" x14ac:dyDescent="0.2">
      <c r="C115" t="s">
        <v>10</v>
      </c>
      <c r="D115">
        <v>294340</v>
      </c>
      <c r="E115">
        <v>516</v>
      </c>
      <c r="F115">
        <f>M115-L115</f>
        <v>11</v>
      </c>
      <c r="I115" t="s">
        <v>33</v>
      </c>
      <c r="J115" t="s">
        <v>34</v>
      </c>
      <c r="L115" t="str">
        <f t="shared" si="6"/>
        <v>2020/02/03</v>
      </c>
      <c r="M115" t="str">
        <f t="shared" si="7"/>
        <v>2020/02/14</v>
      </c>
      <c r="N115" t="s">
        <v>35</v>
      </c>
    </row>
    <row r="116" spans="1:14" x14ac:dyDescent="0.2">
      <c r="C116" t="s">
        <v>6</v>
      </c>
      <c r="D116">
        <v>55170</v>
      </c>
      <c r="E116">
        <v>457</v>
      </c>
      <c r="F116">
        <f>M116-L116</f>
        <v>27</v>
      </c>
      <c r="I116" t="s">
        <v>31</v>
      </c>
      <c r="J116" t="s">
        <v>24</v>
      </c>
      <c r="L116" t="str">
        <f t="shared" si="6"/>
        <v>2020/02/06</v>
      </c>
      <c r="M116" t="str">
        <f t="shared" si="7"/>
        <v>2020/03/04</v>
      </c>
      <c r="N116" t="s">
        <v>9</v>
      </c>
    </row>
    <row r="117" spans="1:14" hidden="1" x14ac:dyDescent="0.2">
      <c r="A117" s="1"/>
      <c r="C117" t="s">
        <v>10</v>
      </c>
      <c r="D117">
        <v>4972</v>
      </c>
      <c r="E117">
        <v>2</v>
      </c>
      <c r="I117" t="s">
        <v>36</v>
      </c>
      <c r="L117" t="str">
        <f t="shared" si="6"/>
        <v>2020/01/17</v>
      </c>
      <c r="M117" t="e">
        <f t="shared" si="7"/>
        <v>#VALUE!</v>
      </c>
      <c r="N117" t="s">
        <v>28</v>
      </c>
    </row>
    <row r="118" spans="1:14" hidden="1" x14ac:dyDescent="0.2">
      <c r="C118" t="s">
        <v>127</v>
      </c>
      <c r="D118">
        <v>212</v>
      </c>
      <c r="E118">
        <v>2</v>
      </c>
      <c r="F118">
        <f>M118-L118</f>
        <v>5</v>
      </c>
      <c r="I118" t="s">
        <v>128</v>
      </c>
      <c r="J118" t="s">
        <v>129</v>
      </c>
      <c r="L118" t="str">
        <f t="shared" si="6"/>
        <v>2020/02/14</v>
      </c>
      <c r="M118" t="str">
        <f t="shared" si="7"/>
        <v>2020/02/19</v>
      </c>
      <c r="N118" t="s">
        <v>130</v>
      </c>
    </row>
    <row r="119" spans="1:14" hidden="1" x14ac:dyDescent="0.2">
      <c r="C119" t="s">
        <v>6</v>
      </c>
      <c r="D119">
        <v>1810</v>
      </c>
      <c r="E119">
        <v>6</v>
      </c>
      <c r="I119" t="s">
        <v>131</v>
      </c>
      <c r="L119" t="str">
        <f t="shared" si="6"/>
        <v>2020/01/24</v>
      </c>
      <c r="M119" t="e">
        <f t="shared" si="7"/>
        <v>#VALUE!</v>
      </c>
      <c r="N119" t="s">
        <v>9</v>
      </c>
    </row>
    <row r="120" spans="1:14" x14ac:dyDescent="0.2">
      <c r="C120" t="s">
        <v>6</v>
      </c>
      <c r="D120">
        <v>32941809</v>
      </c>
      <c r="E120">
        <v>38593</v>
      </c>
      <c r="F120">
        <f>M120-L120</f>
        <v>63</v>
      </c>
      <c r="I120" t="s">
        <v>132</v>
      </c>
      <c r="J120" t="s">
        <v>15</v>
      </c>
      <c r="L120" t="str">
        <f t="shared" si="6"/>
        <v>2020/01/29</v>
      </c>
      <c r="M120" t="str">
        <f t="shared" si="7"/>
        <v>2020/04/01</v>
      </c>
      <c r="N120" t="s">
        <v>9</v>
      </c>
    </row>
    <row r="121" spans="1:14" x14ac:dyDescent="0.2">
      <c r="C121" t="s">
        <v>6</v>
      </c>
      <c r="D121">
        <v>548582</v>
      </c>
      <c r="E121">
        <v>5247</v>
      </c>
      <c r="F121">
        <f>M121-L121</f>
        <v>10</v>
      </c>
      <c r="I121" t="s">
        <v>133</v>
      </c>
      <c r="J121" t="s">
        <v>134</v>
      </c>
      <c r="L121" t="str">
        <f t="shared" si="6"/>
        <v>2020/02/22</v>
      </c>
      <c r="M121" t="str">
        <f t="shared" si="7"/>
        <v>2020/03/03</v>
      </c>
      <c r="N121" t="s">
        <v>9</v>
      </c>
    </row>
    <row r="122" spans="1:14" hidden="1" x14ac:dyDescent="0.2">
      <c r="C122" t="s">
        <v>6</v>
      </c>
      <c r="D122">
        <v>4214904</v>
      </c>
      <c r="E122">
        <v>1667</v>
      </c>
      <c r="I122" t="s">
        <v>135</v>
      </c>
      <c r="L122" t="str">
        <f t="shared" si="6"/>
        <v>2020/01/21</v>
      </c>
      <c r="M122" t="e">
        <f t="shared" si="7"/>
        <v>#VALUE!</v>
      </c>
      <c r="N122" t="s">
        <v>9</v>
      </c>
    </row>
    <row r="123" spans="1:14" x14ac:dyDescent="0.2">
      <c r="C123" t="s">
        <v>6</v>
      </c>
      <c r="D123">
        <v>221400</v>
      </c>
      <c r="E123">
        <v>2119</v>
      </c>
      <c r="F123">
        <f t="shared" ref="F123:F129" si="11">M123-L123</f>
        <v>29</v>
      </c>
      <c r="I123" t="s">
        <v>94</v>
      </c>
      <c r="J123" t="s">
        <v>61</v>
      </c>
      <c r="L123" t="str">
        <f t="shared" si="6"/>
        <v>2020/02/01</v>
      </c>
      <c r="M123" t="str">
        <f t="shared" si="7"/>
        <v>2020/03/01</v>
      </c>
      <c r="N123" t="s">
        <v>9</v>
      </c>
    </row>
    <row r="124" spans="1:14" x14ac:dyDescent="0.2">
      <c r="C124" t="s">
        <v>6</v>
      </c>
      <c r="D124">
        <v>1645255</v>
      </c>
      <c r="E124">
        <v>3349</v>
      </c>
      <c r="F124">
        <f t="shared" si="11"/>
        <v>10</v>
      </c>
      <c r="I124" t="s">
        <v>133</v>
      </c>
      <c r="J124" t="s">
        <v>134</v>
      </c>
      <c r="L124" t="str">
        <f t="shared" si="6"/>
        <v>2020/02/22</v>
      </c>
      <c r="M124" t="str">
        <f t="shared" si="7"/>
        <v>2020/03/03</v>
      </c>
      <c r="N124" t="s">
        <v>9</v>
      </c>
    </row>
    <row r="125" spans="1:14" x14ac:dyDescent="0.2">
      <c r="C125" t="s">
        <v>6</v>
      </c>
      <c r="D125">
        <v>3160</v>
      </c>
      <c r="E125">
        <v>5</v>
      </c>
      <c r="F125">
        <f t="shared" si="11"/>
        <v>12</v>
      </c>
      <c r="I125" t="s">
        <v>19</v>
      </c>
      <c r="J125" t="s">
        <v>20</v>
      </c>
      <c r="L125" t="str">
        <f t="shared" si="6"/>
        <v>2020/01/23</v>
      </c>
      <c r="M125" t="str">
        <f t="shared" si="7"/>
        <v>2020/02/04</v>
      </c>
      <c r="N125" t="s">
        <v>9</v>
      </c>
    </row>
    <row r="126" spans="1:14" x14ac:dyDescent="0.2">
      <c r="C126" t="s">
        <v>6</v>
      </c>
      <c r="D126">
        <v>5728</v>
      </c>
      <c r="E126">
        <v>54</v>
      </c>
      <c r="F126">
        <f t="shared" si="11"/>
        <v>27</v>
      </c>
      <c r="I126" t="s">
        <v>90</v>
      </c>
      <c r="J126" t="s">
        <v>91</v>
      </c>
      <c r="L126" t="str">
        <f t="shared" si="6"/>
        <v>2020/02/06</v>
      </c>
      <c r="M126" t="str">
        <f t="shared" si="7"/>
        <v>2020/03/04</v>
      </c>
      <c r="N126" t="s">
        <v>9</v>
      </c>
    </row>
    <row r="127" spans="1:14" x14ac:dyDescent="0.2">
      <c r="C127" t="s">
        <v>6</v>
      </c>
      <c r="D127">
        <v>216640</v>
      </c>
      <c r="E127">
        <v>450</v>
      </c>
      <c r="F127">
        <f t="shared" si="11"/>
        <v>32</v>
      </c>
      <c r="I127" t="s">
        <v>72</v>
      </c>
      <c r="J127" t="s">
        <v>104</v>
      </c>
      <c r="L127" t="str">
        <f t="shared" si="6"/>
        <v>2020/01/03</v>
      </c>
      <c r="M127" t="str">
        <f t="shared" si="7"/>
        <v>2020/02/04</v>
      </c>
      <c r="N127" t="s">
        <v>9</v>
      </c>
    </row>
    <row r="128" spans="1:14" hidden="1" x14ac:dyDescent="0.2">
      <c r="C128" t="s">
        <v>56</v>
      </c>
      <c r="D128">
        <v>46442</v>
      </c>
      <c r="E128">
        <v>39</v>
      </c>
      <c r="F128">
        <f t="shared" si="11"/>
        <v>41</v>
      </c>
      <c r="I128" t="s">
        <v>57</v>
      </c>
      <c r="J128" t="s">
        <v>58</v>
      </c>
      <c r="L128" t="str">
        <f t="shared" si="6"/>
        <v>2020/01/21</v>
      </c>
      <c r="M128" t="str">
        <f t="shared" si="7"/>
        <v>2020/03/02</v>
      </c>
      <c r="N128" t="s">
        <v>59</v>
      </c>
    </row>
    <row r="129" spans="3:14" x14ac:dyDescent="0.2">
      <c r="C129" t="s">
        <v>6</v>
      </c>
      <c r="D129">
        <v>10716</v>
      </c>
      <c r="E129">
        <v>41</v>
      </c>
      <c r="F129">
        <f t="shared" si="11"/>
        <v>12</v>
      </c>
      <c r="I129" t="s">
        <v>23</v>
      </c>
      <c r="J129" t="s">
        <v>24</v>
      </c>
      <c r="L129" t="str">
        <f t="shared" si="6"/>
        <v>2020/02/21</v>
      </c>
      <c r="M129" t="str">
        <f t="shared" si="7"/>
        <v>2020/03/04</v>
      </c>
      <c r="N129" t="s">
        <v>9</v>
      </c>
    </row>
    <row r="130" spans="3:14" hidden="1" x14ac:dyDescent="0.2">
      <c r="C130" t="s">
        <v>10</v>
      </c>
      <c r="D130">
        <v>885</v>
      </c>
      <c r="E130">
        <v>0</v>
      </c>
      <c r="I130" t="s">
        <v>27</v>
      </c>
      <c r="L130" t="str">
        <f t="shared" si="6"/>
        <v>2020/01/17</v>
      </c>
      <c r="M130" t="e">
        <f t="shared" si="7"/>
        <v>#VALUE!</v>
      </c>
      <c r="N130" t="s">
        <v>28</v>
      </c>
    </row>
    <row r="131" spans="3:14" x14ac:dyDescent="0.2">
      <c r="C131" t="s">
        <v>6</v>
      </c>
      <c r="D131">
        <v>51171</v>
      </c>
      <c r="E131">
        <v>256</v>
      </c>
      <c r="F131">
        <f>M131-L131</f>
        <v>4</v>
      </c>
      <c r="I131" t="s">
        <v>136</v>
      </c>
      <c r="J131" t="s">
        <v>137</v>
      </c>
      <c r="L131" t="str">
        <f t="shared" ref="L131:L194" si="12">LEFT(I131,FIND(" ",I131)-1)</f>
        <v>2020/01/31</v>
      </c>
      <c r="M131" t="str">
        <f t="shared" ref="M131:M194" si="13">LEFT(J131,FIND(" ",J131)-1)</f>
        <v>2020/02/04</v>
      </c>
      <c r="N131" t="s">
        <v>9</v>
      </c>
    </row>
    <row r="132" spans="3:14" hidden="1" x14ac:dyDescent="0.2">
      <c r="C132" t="s">
        <v>10</v>
      </c>
      <c r="D132">
        <v>59168</v>
      </c>
      <c r="E132">
        <v>119</v>
      </c>
      <c r="I132" t="s">
        <v>138</v>
      </c>
      <c r="L132" t="str">
        <f t="shared" si="12"/>
        <v>2020/02/18</v>
      </c>
      <c r="M132" t="e">
        <f t="shared" si="13"/>
        <v>#VALUE!</v>
      </c>
      <c r="N132" t="s">
        <v>35</v>
      </c>
    </row>
    <row r="133" spans="3:14" hidden="1" x14ac:dyDescent="0.2">
      <c r="C133" t="s">
        <v>39</v>
      </c>
      <c r="D133">
        <v>385323</v>
      </c>
      <c r="E133">
        <v>1032</v>
      </c>
      <c r="F133">
        <f t="shared" ref="F133:F142" si="14">M133-L133</f>
        <v>343</v>
      </c>
      <c r="I133" t="s">
        <v>83</v>
      </c>
      <c r="J133" t="s">
        <v>84</v>
      </c>
      <c r="L133" t="str">
        <f t="shared" si="12"/>
        <v>2020/01/24</v>
      </c>
      <c r="M133" t="str">
        <f t="shared" si="13"/>
        <v>2021/01/01</v>
      </c>
      <c r="N133" t="s">
        <v>41</v>
      </c>
    </row>
    <row r="134" spans="3:14" x14ac:dyDescent="0.2">
      <c r="C134" t="s">
        <v>6</v>
      </c>
      <c r="D134">
        <v>41834</v>
      </c>
      <c r="E134">
        <v>402</v>
      </c>
      <c r="F134">
        <f t="shared" si="14"/>
        <v>287</v>
      </c>
      <c r="I134" t="s">
        <v>113</v>
      </c>
      <c r="J134" t="s">
        <v>114</v>
      </c>
      <c r="L134" t="str">
        <f t="shared" si="12"/>
        <v>2019/11/18</v>
      </c>
      <c r="M134" t="str">
        <f t="shared" si="13"/>
        <v>2020/08/31</v>
      </c>
      <c r="N134" t="s">
        <v>9</v>
      </c>
    </row>
    <row r="135" spans="3:14" x14ac:dyDescent="0.2">
      <c r="C135" t="s">
        <v>6</v>
      </c>
      <c r="D135">
        <v>5175160</v>
      </c>
      <c r="E135">
        <v>10650</v>
      </c>
      <c r="F135">
        <f t="shared" si="14"/>
        <v>8</v>
      </c>
      <c r="I135" t="s">
        <v>62</v>
      </c>
      <c r="J135" t="s">
        <v>63</v>
      </c>
      <c r="L135" t="str">
        <f t="shared" si="12"/>
        <v>2020/02/08</v>
      </c>
      <c r="M135" t="str">
        <f t="shared" si="13"/>
        <v>2020/02/16</v>
      </c>
      <c r="N135" t="s">
        <v>9</v>
      </c>
    </row>
    <row r="136" spans="3:14" hidden="1" x14ac:dyDescent="0.2">
      <c r="C136" t="s">
        <v>10</v>
      </c>
      <c r="D136">
        <v>40578</v>
      </c>
      <c r="E136">
        <v>94</v>
      </c>
      <c r="F136">
        <f t="shared" si="14"/>
        <v>17</v>
      </c>
      <c r="I136" t="s">
        <v>139</v>
      </c>
      <c r="J136" t="s">
        <v>96</v>
      </c>
      <c r="L136" t="str">
        <f t="shared" si="12"/>
        <v>2020/01/08</v>
      </c>
      <c r="M136" t="str">
        <f t="shared" si="13"/>
        <v>2020/01/25</v>
      </c>
      <c r="N136" t="s">
        <v>87</v>
      </c>
    </row>
    <row r="137" spans="3:14" x14ac:dyDescent="0.2">
      <c r="C137" t="s">
        <v>6</v>
      </c>
      <c r="D137">
        <v>4760</v>
      </c>
      <c r="E137">
        <v>18</v>
      </c>
      <c r="F137">
        <f t="shared" si="14"/>
        <v>10</v>
      </c>
      <c r="I137" t="s">
        <v>140</v>
      </c>
      <c r="J137" t="s">
        <v>24</v>
      </c>
      <c r="L137" t="str">
        <f t="shared" si="12"/>
        <v>2020/02/23</v>
      </c>
      <c r="M137" t="str">
        <f t="shared" si="13"/>
        <v>2020/03/04</v>
      </c>
      <c r="N137" t="s">
        <v>9</v>
      </c>
    </row>
    <row r="138" spans="3:14" x14ac:dyDescent="0.2">
      <c r="C138" t="s">
        <v>6</v>
      </c>
      <c r="D138">
        <v>4540561</v>
      </c>
      <c r="E138">
        <v>8317</v>
      </c>
      <c r="F138">
        <f t="shared" si="14"/>
        <v>63</v>
      </c>
      <c r="I138" t="s">
        <v>18</v>
      </c>
      <c r="J138" t="s">
        <v>15</v>
      </c>
      <c r="L138" t="str">
        <f t="shared" si="12"/>
        <v>2020/01/29</v>
      </c>
      <c r="M138" t="str">
        <f t="shared" si="13"/>
        <v>2020/04/01</v>
      </c>
      <c r="N138" t="s">
        <v>9</v>
      </c>
    </row>
    <row r="139" spans="3:14" x14ac:dyDescent="0.2">
      <c r="C139" t="s">
        <v>6</v>
      </c>
      <c r="D139">
        <v>69</v>
      </c>
      <c r="E139">
        <v>0</v>
      </c>
      <c r="F139">
        <f t="shared" si="14"/>
        <v>1</v>
      </c>
      <c r="I139" t="s">
        <v>141</v>
      </c>
      <c r="J139" t="s">
        <v>142</v>
      </c>
      <c r="L139" t="str">
        <f t="shared" si="12"/>
        <v>2020/01/31</v>
      </c>
      <c r="M139" t="str">
        <f t="shared" si="13"/>
        <v>2020/02/01</v>
      </c>
      <c r="N139" t="s">
        <v>9</v>
      </c>
    </row>
    <row r="140" spans="3:14" x14ac:dyDescent="0.2">
      <c r="C140" t="s">
        <v>6</v>
      </c>
      <c r="D140">
        <v>5082340</v>
      </c>
      <c r="E140">
        <v>10458</v>
      </c>
      <c r="F140">
        <f t="shared" si="14"/>
        <v>8</v>
      </c>
      <c r="I140" t="s">
        <v>62</v>
      </c>
      <c r="J140" t="s">
        <v>63</v>
      </c>
      <c r="L140" t="str">
        <f t="shared" si="12"/>
        <v>2020/02/08</v>
      </c>
      <c r="M140" t="str">
        <f t="shared" si="13"/>
        <v>2020/02/16</v>
      </c>
      <c r="N140" t="s">
        <v>9</v>
      </c>
    </row>
    <row r="141" spans="3:14" x14ac:dyDescent="0.2">
      <c r="C141" t="s">
        <v>6</v>
      </c>
      <c r="D141">
        <v>59551</v>
      </c>
      <c r="E141">
        <v>150</v>
      </c>
      <c r="F141">
        <f t="shared" si="14"/>
        <v>7</v>
      </c>
      <c r="I141" t="s">
        <v>143</v>
      </c>
      <c r="J141" t="s">
        <v>144</v>
      </c>
      <c r="L141" t="str">
        <f t="shared" si="12"/>
        <v>2020/02/04</v>
      </c>
      <c r="M141" t="str">
        <f t="shared" si="13"/>
        <v>2020/02/11</v>
      </c>
      <c r="N141" t="s">
        <v>9</v>
      </c>
    </row>
    <row r="142" spans="3:14" hidden="1" x14ac:dyDescent="0.2">
      <c r="C142" t="s">
        <v>56</v>
      </c>
      <c r="D142">
        <v>9750</v>
      </c>
      <c r="E142">
        <v>7</v>
      </c>
      <c r="F142">
        <f t="shared" si="14"/>
        <v>7</v>
      </c>
      <c r="I142" t="s">
        <v>145</v>
      </c>
      <c r="J142" t="s">
        <v>146</v>
      </c>
      <c r="L142" t="str">
        <f t="shared" si="12"/>
        <v>2020/01/03</v>
      </c>
      <c r="M142" t="str">
        <f t="shared" si="13"/>
        <v>2020/01/10</v>
      </c>
      <c r="N142" t="s">
        <v>59</v>
      </c>
    </row>
    <row r="143" spans="3:14" hidden="1" x14ac:dyDescent="0.2">
      <c r="C143" t="s">
        <v>6</v>
      </c>
      <c r="D143">
        <v>309</v>
      </c>
      <c r="E143">
        <v>0</v>
      </c>
      <c r="I143" t="s">
        <v>44</v>
      </c>
      <c r="L143" t="str">
        <f t="shared" si="12"/>
        <v>2020/02/20</v>
      </c>
      <c r="M143" t="e">
        <f t="shared" si="13"/>
        <v>#VALUE!</v>
      </c>
      <c r="N143" t="s">
        <v>9</v>
      </c>
    </row>
    <row r="144" spans="3:14" x14ac:dyDescent="0.2">
      <c r="C144" t="s">
        <v>6</v>
      </c>
      <c r="D144">
        <v>82903</v>
      </c>
      <c r="E144">
        <v>241</v>
      </c>
      <c r="F144">
        <f>M144-L144</f>
        <v>111</v>
      </c>
      <c r="I144" t="s">
        <v>147</v>
      </c>
      <c r="J144" t="s">
        <v>148</v>
      </c>
      <c r="L144" t="str">
        <f t="shared" si="12"/>
        <v>2020/02/10</v>
      </c>
      <c r="M144" t="str">
        <f t="shared" si="13"/>
        <v>2020/05/31</v>
      </c>
      <c r="N144" t="s">
        <v>9</v>
      </c>
    </row>
    <row r="145" spans="1:14" x14ac:dyDescent="0.2">
      <c r="C145" t="s">
        <v>6</v>
      </c>
      <c r="D145">
        <v>38143192</v>
      </c>
      <c r="E145">
        <v>41593</v>
      </c>
      <c r="F145">
        <f>M145-L145</f>
        <v>21</v>
      </c>
      <c r="I145" t="s">
        <v>149</v>
      </c>
      <c r="J145" t="s">
        <v>150</v>
      </c>
      <c r="L145" t="str">
        <f t="shared" si="12"/>
        <v>2020/01/08</v>
      </c>
      <c r="M145" t="str">
        <f t="shared" si="13"/>
        <v>2020/01/29</v>
      </c>
      <c r="N145" t="s">
        <v>9</v>
      </c>
    </row>
    <row r="146" spans="1:14" hidden="1" x14ac:dyDescent="0.2">
      <c r="C146" t="s">
        <v>10</v>
      </c>
      <c r="D146">
        <v>2370901</v>
      </c>
      <c r="E146">
        <v>921</v>
      </c>
      <c r="F146">
        <f>M146-L146</f>
        <v>52</v>
      </c>
      <c r="I146" t="s">
        <v>76</v>
      </c>
      <c r="J146" t="s">
        <v>77</v>
      </c>
      <c r="L146" t="str">
        <f t="shared" si="12"/>
        <v>2020/01/09</v>
      </c>
      <c r="M146" t="str">
        <f t="shared" si="13"/>
        <v>2020/03/01</v>
      </c>
      <c r="N146" t="s">
        <v>78</v>
      </c>
    </row>
    <row r="147" spans="1:14" x14ac:dyDescent="0.2">
      <c r="A147" s="1"/>
      <c r="C147" t="s">
        <v>6</v>
      </c>
      <c r="D147">
        <v>4320</v>
      </c>
      <c r="E147">
        <v>16</v>
      </c>
      <c r="F147">
        <f>M147-L147</f>
        <v>10</v>
      </c>
      <c r="I147" t="s">
        <v>140</v>
      </c>
      <c r="J147" t="s">
        <v>24</v>
      </c>
      <c r="L147" t="str">
        <f t="shared" si="12"/>
        <v>2020/02/23</v>
      </c>
      <c r="M147" t="str">
        <f t="shared" si="13"/>
        <v>2020/03/04</v>
      </c>
      <c r="N147" t="s">
        <v>9</v>
      </c>
    </row>
    <row r="148" spans="1:14" hidden="1" x14ac:dyDescent="0.2">
      <c r="C148" t="s">
        <v>39</v>
      </c>
      <c r="D148">
        <v>54811</v>
      </c>
      <c r="E148">
        <v>119</v>
      </c>
      <c r="F148">
        <f>M148-L148</f>
        <v>343</v>
      </c>
      <c r="I148" t="s">
        <v>83</v>
      </c>
      <c r="J148" t="s">
        <v>84</v>
      </c>
      <c r="L148" t="str">
        <f t="shared" si="12"/>
        <v>2020/01/24</v>
      </c>
      <c r="M148" t="str">
        <f t="shared" si="13"/>
        <v>2021/01/01</v>
      </c>
      <c r="N148" t="s">
        <v>41</v>
      </c>
    </row>
    <row r="149" spans="1:14" hidden="1" x14ac:dyDescent="0.2">
      <c r="C149" t="s">
        <v>10</v>
      </c>
      <c r="D149">
        <v>1270</v>
      </c>
      <c r="E149">
        <v>0</v>
      </c>
      <c r="I149" t="s">
        <v>36</v>
      </c>
      <c r="L149" t="str">
        <f t="shared" si="12"/>
        <v>2020/01/17</v>
      </c>
      <c r="M149" t="e">
        <f t="shared" si="13"/>
        <v>#VALUE!</v>
      </c>
      <c r="N149" t="s">
        <v>28</v>
      </c>
    </row>
    <row r="150" spans="1:14" x14ac:dyDescent="0.2">
      <c r="C150" t="s">
        <v>6</v>
      </c>
      <c r="D150">
        <v>133343</v>
      </c>
      <c r="E150">
        <v>1094</v>
      </c>
      <c r="F150">
        <f>M150-L150</f>
        <v>27</v>
      </c>
      <c r="I150" t="s">
        <v>103</v>
      </c>
      <c r="J150" t="s">
        <v>24</v>
      </c>
      <c r="L150" t="str">
        <f t="shared" si="12"/>
        <v>2020/02/06</v>
      </c>
      <c r="M150" t="str">
        <f t="shared" si="13"/>
        <v>2020/03/04</v>
      </c>
      <c r="N150" t="s">
        <v>9</v>
      </c>
    </row>
    <row r="151" spans="1:14" x14ac:dyDescent="0.2">
      <c r="C151" t="s">
        <v>6</v>
      </c>
      <c r="D151">
        <v>784901</v>
      </c>
      <c r="E151">
        <v>2089</v>
      </c>
      <c r="F151">
        <f>M151-L151</f>
        <v>32</v>
      </c>
      <c r="I151" t="s">
        <v>72</v>
      </c>
      <c r="J151" t="s">
        <v>104</v>
      </c>
      <c r="L151" t="str">
        <f t="shared" si="12"/>
        <v>2020/01/03</v>
      </c>
      <c r="M151" t="str">
        <f t="shared" si="13"/>
        <v>2020/02/04</v>
      </c>
      <c r="N151" t="s">
        <v>9</v>
      </c>
    </row>
    <row r="152" spans="1:14" x14ac:dyDescent="0.2">
      <c r="C152" t="s">
        <v>6</v>
      </c>
      <c r="D152">
        <v>599726</v>
      </c>
      <c r="E152">
        <v>921</v>
      </c>
      <c r="F152">
        <f>M152-L152</f>
        <v>31</v>
      </c>
      <c r="I152" t="s">
        <v>45</v>
      </c>
      <c r="J152" t="s">
        <v>46</v>
      </c>
      <c r="L152" t="str">
        <f t="shared" si="12"/>
        <v>2020/01/01</v>
      </c>
      <c r="M152" t="str">
        <f t="shared" si="13"/>
        <v>2020/02/01</v>
      </c>
      <c r="N152" t="s">
        <v>9</v>
      </c>
    </row>
    <row r="153" spans="1:14" hidden="1" x14ac:dyDescent="0.2">
      <c r="C153" t="s">
        <v>6</v>
      </c>
      <c r="D153">
        <v>482282</v>
      </c>
      <c r="E153">
        <v>517</v>
      </c>
      <c r="I153" t="s">
        <v>151</v>
      </c>
      <c r="L153" t="str">
        <f t="shared" si="12"/>
        <v>2020/02/07</v>
      </c>
      <c r="M153" t="e">
        <f t="shared" si="13"/>
        <v>#VALUE!</v>
      </c>
      <c r="N153" t="s">
        <v>9</v>
      </c>
    </row>
    <row r="154" spans="1:14" x14ac:dyDescent="0.2">
      <c r="C154" t="s">
        <v>6</v>
      </c>
      <c r="D154">
        <v>54778</v>
      </c>
      <c r="E154">
        <v>128</v>
      </c>
      <c r="F154">
        <f>M154-L154</f>
        <v>32</v>
      </c>
      <c r="I154" t="s">
        <v>152</v>
      </c>
      <c r="J154" t="s">
        <v>153</v>
      </c>
      <c r="L154" t="str">
        <f t="shared" si="12"/>
        <v>2020/01/28</v>
      </c>
      <c r="M154" t="str">
        <f t="shared" si="13"/>
        <v>2020/02/29</v>
      </c>
      <c r="N154" t="s">
        <v>9</v>
      </c>
    </row>
    <row r="155" spans="1:14" x14ac:dyDescent="0.2">
      <c r="C155" t="s">
        <v>6</v>
      </c>
      <c r="D155">
        <v>4358396</v>
      </c>
      <c r="E155">
        <v>41597</v>
      </c>
      <c r="F155">
        <f>M155-L155</f>
        <v>21</v>
      </c>
      <c r="I155" t="s">
        <v>154</v>
      </c>
      <c r="J155" t="s">
        <v>150</v>
      </c>
      <c r="L155" t="str">
        <f t="shared" si="12"/>
        <v>2020/01/08</v>
      </c>
      <c r="M155" t="str">
        <f t="shared" si="13"/>
        <v>2020/01/29</v>
      </c>
      <c r="N155" t="s">
        <v>9</v>
      </c>
    </row>
    <row r="156" spans="1:14" x14ac:dyDescent="0.2">
      <c r="C156" t="s">
        <v>6</v>
      </c>
      <c r="D156">
        <v>675371</v>
      </c>
      <c r="E156">
        <v>1588</v>
      </c>
      <c r="F156">
        <f>M156-L156</f>
        <v>31</v>
      </c>
      <c r="I156" t="s">
        <v>45</v>
      </c>
      <c r="J156" t="s">
        <v>46</v>
      </c>
      <c r="L156" t="str">
        <f t="shared" si="12"/>
        <v>2020/01/01</v>
      </c>
      <c r="M156" t="str">
        <f t="shared" si="13"/>
        <v>2020/02/01</v>
      </c>
      <c r="N156" t="s">
        <v>9</v>
      </c>
    </row>
    <row r="157" spans="1:14" hidden="1" x14ac:dyDescent="0.2">
      <c r="C157" t="s">
        <v>6</v>
      </c>
      <c r="D157">
        <v>431</v>
      </c>
      <c r="E157">
        <v>0</v>
      </c>
      <c r="I157" t="s">
        <v>155</v>
      </c>
      <c r="L157" t="str">
        <f t="shared" si="12"/>
        <v>2020/01/02</v>
      </c>
      <c r="M157" t="e">
        <f t="shared" si="13"/>
        <v>#VALUE!</v>
      </c>
      <c r="N157" t="s">
        <v>9</v>
      </c>
    </row>
    <row r="158" spans="1:14" x14ac:dyDescent="0.2">
      <c r="C158" t="s">
        <v>6</v>
      </c>
      <c r="D158">
        <v>4</v>
      </c>
      <c r="E158">
        <v>0</v>
      </c>
      <c r="F158">
        <f t="shared" ref="F158:F164" si="15">M158-L158</f>
        <v>2</v>
      </c>
      <c r="I158" t="s">
        <v>156</v>
      </c>
      <c r="J158" t="s">
        <v>157</v>
      </c>
      <c r="L158" t="str">
        <f t="shared" si="12"/>
        <v>2020/01/21</v>
      </c>
      <c r="M158" t="str">
        <f t="shared" si="13"/>
        <v>2020/01/23</v>
      </c>
      <c r="N158" t="s">
        <v>9</v>
      </c>
    </row>
    <row r="159" spans="1:14" x14ac:dyDescent="0.2">
      <c r="C159" t="s">
        <v>6</v>
      </c>
      <c r="D159">
        <v>99517</v>
      </c>
      <c r="E159">
        <v>181</v>
      </c>
      <c r="F159">
        <f t="shared" si="15"/>
        <v>40</v>
      </c>
      <c r="I159" t="s">
        <v>72</v>
      </c>
      <c r="J159" t="s">
        <v>73</v>
      </c>
      <c r="L159" t="str">
        <f t="shared" si="12"/>
        <v>2020/01/03</v>
      </c>
      <c r="M159" t="str">
        <f t="shared" si="13"/>
        <v>2020/02/12</v>
      </c>
      <c r="N159" t="s">
        <v>9</v>
      </c>
    </row>
    <row r="160" spans="1:14" hidden="1" x14ac:dyDescent="0.2">
      <c r="C160" t="s">
        <v>56</v>
      </c>
      <c r="D160">
        <v>36291</v>
      </c>
      <c r="E160">
        <v>43</v>
      </c>
      <c r="F160">
        <f t="shared" si="15"/>
        <v>41</v>
      </c>
      <c r="I160" t="s">
        <v>57</v>
      </c>
      <c r="J160" t="s">
        <v>58</v>
      </c>
      <c r="L160" t="str">
        <f t="shared" si="12"/>
        <v>2020/01/21</v>
      </c>
      <c r="M160" t="str">
        <f t="shared" si="13"/>
        <v>2020/03/02</v>
      </c>
      <c r="N160" t="s">
        <v>59</v>
      </c>
    </row>
    <row r="161" spans="3:14" x14ac:dyDescent="0.2">
      <c r="C161" t="s">
        <v>6</v>
      </c>
      <c r="D161">
        <v>18776</v>
      </c>
      <c r="E161">
        <v>137</v>
      </c>
      <c r="F161">
        <f t="shared" si="15"/>
        <v>105</v>
      </c>
      <c r="I161" t="s">
        <v>158</v>
      </c>
      <c r="J161" t="s">
        <v>159</v>
      </c>
      <c r="L161" t="str">
        <f t="shared" si="12"/>
        <v>2020/02/17</v>
      </c>
      <c r="M161" t="str">
        <f t="shared" si="13"/>
        <v>2020/06/01</v>
      </c>
      <c r="N161" t="s">
        <v>9</v>
      </c>
    </row>
    <row r="162" spans="3:14" x14ac:dyDescent="0.2">
      <c r="C162" t="s">
        <v>6</v>
      </c>
      <c r="D162">
        <v>650317</v>
      </c>
      <c r="E162">
        <v>6205</v>
      </c>
      <c r="F162">
        <f t="shared" si="15"/>
        <v>63</v>
      </c>
      <c r="I162" t="s">
        <v>18</v>
      </c>
      <c r="J162" t="s">
        <v>15</v>
      </c>
      <c r="L162" t="str">
        <f t="shared" si="12"/>
        <v>2020/01/29</v>
      </c>
      <c r="M162" t="str">
        <f t="shared" si="13"/>
        <v>2020/04/01</v>
      </c>
      <c r="N162" t="s">
        <v>9</v>
      </c>
    </row>
    <row r="163" spans="3:14" x14ac:dyDescent="0.2">
      <c r="C163" t="s">
        <v>6</v>
      </c>
      <c r="D163">
        <v>197575</v>
      </c>
      <c r="E163">
        <v>248</v>
      </c>
      <c r="F163">
        <f t="shared" si="15"/>
        <v>26</v>
      </c>
      <c r="I163" t="s">
        <v>81</v>
      </c>
      <c r="J163" t="s">
        <v>82</v>
      </c>
      <c r="L163" t="str">
        <f t="shared" si="12"/>
        <v>2020/01/06</v>
      </c>
      <c r="M163" t="str">
        <f t="shared" si="13"/>
        <v>2020/02/01</v>
      </c>
      <c r="N163" t="s">
        <v>9</v>
      </c>
    </row>
    <row r="164" spans="3:14" hidden="1" x14ac:dyDescent="0.2">
      <c r="C164" t="s">
        <v>10</v>
      </c>
      <c r="D164">
        <v>2138683</v>
      </c>
      <c r="E164">
        <v>999</v>
      </c>
      <c r="F164">
        <f t="shared" si="15"/>
        <v>12</v>
      </c>
      <c r="I164" t="s">
        <v>160</v>
      </c>
      <c r="J164" t="s">
        <v>161</v>
      </c>
      <c r="L164" t="str">
        <f t="shared" si="12"/>
        <v>2020/01/07</v>
      </c>
      <c r="M164" t="str">
        <f t="shared" si="13"/>
        <v>2020/01/19</v>
      </c>
      <c r="N164" t="s">
        <v>87</v>
      </c>
    </row>
    <row r="165" spans="3:14" hidden="1" x14ac:dyDescent="0.2">
      <c r="C165" t="s">
        <v>6</v>
      </c>
      <c r="D165">
        <v>1520</v>
      </c>
      <c r="E165">
        <v>1</v>
      </c>
      <c r="I165" t="s">
        <v>44</v>
      </c>
      <c r="L165" t="str">
        <f t="shared" si="12"/>
        <v>2020/02/20</v>
      </c>
      <c r="M165" t="e">
        <f t="shared" si="13"/>
        <v>#VALUE!</v>
      </c>
      <c r="N165" t="s">
        <v>9</v>
      </c>
    </row>
    <row r="166" spans="3:14" x14ac:dyDescent="0.2">
      <c r="C166" t="s">
        <v>6</v>
      </c>
      <c r="D166">
        <v>950949</v>
      </c>
      <c r="E166">
        <v>9067</v>
      </c>
      <c r="F166">
        <f t="shared" ref="F166:F175" si="16">M166-L166</f>
        <v>84</v>
      </c>
      <c r="I166" t="s">
        <v>66</v>
      </c>
      <c r="J166" t="s">
        <v>15</v>
      </c>
      <c r="L166" t="str">
        <f t="shared" si="12"/>
        <v>2020/01/08</v>
      </c>
      <c r="M166" t="str">
        <f t="shared" si="13"/>
        <v>2020/04/01</v>
      </c>
      <c r="N166" t="s">
        <v>9</v>
      </c>
    </row>
    <row r="167" spans="3:14" x14ac:dyDescent="0.2">
      <c r="C167" t="s">
        <v>6</v>
      </c>
      <c r="D167">
        <v>133320</v>
      </c>
      <c r="E167">
        <v>293</v>
      </c>
      <c r="F167">
        <f t="shared" si="16"/>
        <v>226</v>
      </c>
      <c r="I167" t="s">
        <v>21</v>
      </c>
      <c r="J167" t="s">
        <v>22</v>
      </c>
      <c r="L167" t="str">
        <f t="shared" si="12"/>
        <v>2019/10/18</v>
      </c>
      <c r="M167" t="str">
        <f t="shared" si="13"/>
        <v>2020/05/31</v>
      </c>
      <c r="N167" t="s">
        <v>9</v>
      </c>
    </row>
    <row r="168" spans="3:14" x14ac:dyDescent="0.2">
      <c r="C168" t="s">
        <v>6</v>
      </c>
      <c r="D168">
        <v>11927</v>
      </c>
      <c r="E168">
        <v>66</v>
      </c>
      <c r="F168">
        <f t="shared" si="16"/>
        <v>6</v>
      </c>
      <c r="I168" t="s">
        <v>162</v>
      </c>
      <c r="J168" t="s">
        <v>163</v>
      </c>
      <c r="L168" t="str">
        <f t="shared" si="12"/>
        <v>2020/01/10</v>
      </c>
      <c r="M168" t="str">
        <f t="shared" si="13"/>
        <v>2020/01/16</v>
      </c>
      <c r="N168" t="s">
        <v>9</v>
      </c>
    </row>
    <row r="169" spans="3:14" x14ac:dyDescent="0.2">
      <c r="C169" t="s">
        <v>6</v>
      </c>
      <c r="D169">
        <v>763826</v>
      </c>
      <c r="E169">
        <v>350</v>
      </c>
      <c r="F169">
        <f t="shared" si="16"/>
        <v>3</v>
      </c>
      <c r="I169" t="s">
        <v>164</v>
      </c>
      <c r="J169" t="s">
        <v>165</v>
      </c>
      <c r="L169" t="str">
        <f t="shared" si="12"/>
        <v>2020/01/28</v>
      </c>
      <c r="M169" t="str">
        <f t="shared" si="13"/>
        <v>2020/01/31</v>
      </c>
      <c r="N169" t="s">
        <v>9</v>
      </c>
    </row>
    <row r="170" spans="3:14" hidden="1" x14ac:dyDescent="0.2">
      <c r="C170" t="s">
        <v>127</v>
      </c>
      <c r="D170">
        <v>17292</v>
      </c>
      <c r="E170">
        <v>53</v>
      </c>
      <c r="F170">
        <f t="shared" si="16"/>
        <v>12</v>
      </c>
      <c r="I170" t="s">
        <v>166</v>
      </c>
      <c r="J170" t="s">
        <v>167</v>
      </c>
      <c r="L170" t="str">
        <f t="shared" si="12"/>
        <v>2020/02/16</v>
      </c>
      <c r="M170" t="str">
        <f t="shared" si="13"/>
        <v>2020/02/28</v>
      </c>
      <c r="N170" t="s">
        <v>130</v>
      </c>
    </row>
    <row r="171" spans="3:14" hidden="1" x14ac:dyDescent="0.2">
      <c r="C171" t="s">
        <v>39</v>
      </c>
      <c r="D171">
        <v>183641</v>
      </c>
      <c r="E171">
        <v>401</v>
      </c>
      <c r="F171">
        <f t="shared" si="16"/>
        <v>343</v>
      </c>
      <c r="I171" t="s">
        <v>83</v>
      </c>
      <c r="J171" t="s">
        <v>84</v>
      </c>
      <c r="L171" t="str">
        <f t="shared" si="12"/>
        <v>2020/01/24</v>
      </c>
      <c r="M171" t="str">
        <f t="shared" si="13"/>
        <v>2021/01/01</v>
      </c>
      <c r="N171" t="s">
        <v>41</v>
      </c>
    </row>
    <row r="172" spans="3:14" x14ac:dyDescent="0.2">
      <c r="C172" t="s">
        <v>6</v>
      </c>
      <c r="D172">
        <v>37645</v>
      </c>
      <c r="E172">
        <v>331</v>
      </c>
      <c r="F172">
        <f t="shared" si="16"/>
        <v>27</v>
      </c>
      <c r="I172" t="s">
        <v>31</v>
      </c>
      <c r="J172" t="s">
        <v>24</v>
      </c>
      <c r="L172" t="str">
        <f t="shared" si="12"/>
        <v>2020/02/06</v>
      </c>
      <c r="M172" t="str">
        <f t="shared" si="13"/>
        <v>2020/03/04</v>
      </c>
      <c r="N172" t="s">
        <v>9</v>
      </c>
    </row>
    <row r="173" spans="3:14" x14ac:dyDescent="0.2">
      <c r="C173" t="s">
        <v>6</v>
      </c>
      <c r="D173">
        <v>27079</v>
      </c>
      <c r="E173">
        <v>20</v>
      </c>
      <c r="F173">
        <f t="shared" si="16"/>
        <v>2</v>
      </c>
      <c r="I173" t="s">
        <v>168</v>
      </c>
      <c r="J173" t="s">
        <v>169</v>
      </c>
      <c r="L173" t="str">
        <f t="shared" si="12"/>
        <v>2020/02/10</v>
      </c>
      <c r="M173" t="str">
        <f t="shared" si="13"/>
        <v>2020/02/12</v>
      </c>
      <c r="N173" t="s">
        <v>9</v>
      </c>
    </row>
    <row r="174" spans="3:14" x14ac:dyDescent="0.2">
      <c r="C174" t="s">
        <v>6</v>
      </c>
      <c r="D174">
        <v>1175396</v>
      </c>
      <c r="E174">
        <v>2969</v>
      </c>
      <c r="F174">
        <f t="shared" si="16"/>
        <v>29</v>
      </c>
      <c r="I174" t="s">
        <v>170</v>
      </c>
      <c r="J174" t="s">
        <v>171</v>
      </c>
      <c r="L174" t="str">
        <f t="shared" si="12"/>
        <v>2020/02/01</v>
      </c>
      <c r="M174" t="str">
        <f t="shared" si="13"/>
        <v>2020/03/01</v>
      </c>
      <c r="N174" t="s">
        <v>9</v>
      </c>
    </row>
    <row r="175" spans="3:14" x14ac:dyDescent="0.2">
      <c r="C175" t="s">
        <v>6</v>
      </c>
      <c r="D175">
        <v>79247</v>
      </c>
      <c r="E175">
        <v>108</v>
      </c>
      <c r="F175">
        <f t="shared" si="16"/>
        <v>14</v>
      </c>
      <c r="I175" t="s">
        <v>172</v>
      </c>
      <c r="J175" t="s">
        <v>173</v>
      </c>
      <c r="L175" t="str">
        <f t="shared" si="12"/>
        <v>2020/02/03</v>
      </c>
      <c r="M175" t="str">
        <f t="shared" si="13"/>
        <v>2020/02/17</v>
      </c>
      <c r="N175" t="s">
        <v>9</v>
      </c>
    </row>
    <row r="176" spans="3:14" hidden="1" x14ac:dyDescent="0.2">
      <c r="C176" t="s">
        <v>10</v>
      </c>
      <c r="D176">
        <v>1490</v>
      </c>
      <c r="E176">
        <v>0</v>
      </c>
      <c r="I176" t="s">
        <v>27</v>
      </c>
      <c r="L176" t="str">
        <f t="shared" si="12"/>
        <v>2020/01/17</v>
      </c>
      <c r="M176" t="e">
        <f t="shared" si="13"/>
        <v>#VALUE!</v>
      </c>
      <c r="N176" t="s">
        <v>28</v>
      </c>
    </row>
    <row r="177" spans="1:14" hidden="1" x14ac:dyDescent="0.2">
      <c r="C177" t="s">
        <v>39</v>
      </c>
      <c r="D177">
        <v>168124</v>
      </c>
      <c r="E177">
        <v>325</v>
      </c>
      <c r="F177">
        <f>M177-L177</f>
        <v>63</v>
      </c>
      <c r="I177" t="s">
        <v>174</v>
      </c>
      <c r="J177" t="s">
        <v>175</v>
      </c>
      <c r="L177" t="str">
        <f t="shared" si="12"/>
        <v>2020/01/20</v>
      </c>
      <c r="M177" t="str">
        <f t="shared" si="13"/>
        <v>2020/03/23</v>
      </c>
      <c r="N177" t="s">
        <v>41</v>
      </c>
    </row>
    <row r="178" spans="1:14" x14ac:dyDescent="0.2">
      <c r="C178" t="s">
        <v>6</v>
      </c>
      <c r="D178">
        <v>9752</v>
      </c>
      <c r="E178">
        <v>37</v>
      </c>
      <c r="F178">
        <f>M178-L178</f>
        <v>10</v>
      </c>
      <c r="I178" t="s">
        <v>140</v>
      </c>
      <c r="J178" t="s">
        <v>24</v>
      </c>
      <c r="L178" t="str">
        <f t="shared" si="12"/>
        <v>2020/02/23</v>
      </c>
      <c r="M178" t="str">
        <f t="shared" si="13"/>
        <v>2020/03/04</v>
      </c>
      <c r="N178" t="s">
        <v>9</v>
      </c>
    </row>
    <row r="179" spans="1:14" x14ac:dyDescent="0.2">
      <c r="C179" t="s">
        <v>6</v>
      </c>
      <c r="D179">
        <v>277893</v>
      </c>
      <c r="E179">
        <v>175</v>
      </c>
      <c r="F179">
        <f>M179-L179</f>
        <v>9</v>
      </c>
      <c r="I179" t="s">
        <v>176</v>
      </c>
      <c r="J179" t="s">
        <v>177</v>
      </c>
      <c r="L179" t="str">
        <f t="shared" si="12"/>
        <v>2020/02/20</v>
      </c>
      <c r="M179" t="str">
        <f t="shared" si="13"/>
        <v>2020/02/29</v>
      </c>
      <c r="N179" t="s">
        <v>9</v>
      </c>
    </row>
    <row r="180" spans="1:14" x14ac:dyDescent="0.2">
      <c r="C180" t="s">
        <v>6</v>
      </c>
      <c r="D180">
        <v>32417</v>
      </c>
      <c r="E180">
        <v>55</v>
      </c>
      <c r="F180">
        <f>M180-L180</f>
        <v>226</v>
      </c>
      <c r="I180" t="s">
        <v>21</v>
      </c>
      <c r="J180" t="s">
        <v>22</v>
      </c>
      <c r="L180" t="str">
        <f t="shared" si="12"/>
        <v>2019/10/18</v>
      </c>
      <c r="M180" t="str">
        <f t="shared" si="13"/>
        <v>2020/05/31</v>
      </c>
      <c r="N180" t="s">
        <v>9</v>
      </c>
    </row>
    <row r="181" spans="1:14" hidden="1" x14ac:dyDescent="0.2">
      <c r="C181" t="s">
        <v>39</v>
      </c>
      <c r="D181">
        <v>11907</v>
      </c>
      <c r="E181">
        <v>26</v>
      </c>
      <c r="F181">
        <f>M181-L181</f>
        <v>343</v>
      </c>
      <c r="I181" t="s">
        <v>83</v>
      </c>
      <c r="J181" t="s">
        <v>84</v>
      </c>
      <c r="L181" t="str">
        <f t="shared" si="12"/>
        <v>2020/01/24</v>
      </c>
      <c r="M181" t="str">
        <f t="shared" si="13"/>
        <v>2021/01/01</v>
      </c>
      <c r="N181" t="s">
        <v>41</v>
      </c>
    </row>
    <row r="182" spans="1:14" hidden="1" x14ac:dyDescent="0.2">
      <c r="C182" t="s">
        <v>10</v>
      </c>
      <c r="D182">
        <v>698</v>
      </c>
      <c r="E182">
        <v>0</v>
      </c>
      <c r="I182" t="s">
        <v>27</v>
      </c>
      <c r="L182" t="str">
        <f t="shared" si="12"/>
        <v>2020/01/17</v>
      </c>
      <c r="M182" t="e">
        <f t="shared" si="13"/>
        <v>#VALUE!</v>
      </c>
      <c r="N182" t="s">
        <v>28</v>
      </c>
    </row>
    <row r="183" spans="1:14" hidden="1" x14ac:dyDescent="0.2">
      <c r="C183" t="s">
        <v>10</v>
      </c>
      <c r="D183">
        <v>1117</v>
      </c>
      <c r="E183">
        <v>0</v>
      </c>
      <c r="I183" t="s">
        <v>36</v>
      </c>
      <c r="L183" t="str">
        <f t="shared" si="12"/>
        <v>2020/01/17</v>
      </c>
      <c r="M183" t="e">
        <f t="shared" si="13"/>
        <v>#VALUE!</v>
      </c>
      <c r="N183" t="s">
        <v>28</v>
      </c>
    </row>
    <row r="184" spans="1:14" x14ac:dyDescent="0.2">
      <c r="C184" t="s">
        <v>6</v>
      </c>
      <c r="D184">
        <v>1816</v>
      </c>
      <c r="E184">
        <v>3</v>
      </c>
      <c r="F184">
        <f t="shared" ref="F184:F194" si="17">M184-L184</f>
        <v>27</v>
      </c>
      <c r="I184" t="s">
        <v>178</v>
      </c>
      <c r="J184" t="s">
        <v>179</v>
      </c>
      <c r="L184" t="str">
        <f t="shared" si="12"/>
        <v>2020/01/04</v>
      </c>
      <c r="M184" t="str">
        <f t="shared" si="13"/>
        <v>2020/01/31</v>
      </c>
      <c r="N184" t="s">
        <v>9</v>
      </c>
    </row>
    <row r="185" spans="1:14" x14ac:dyDescent="0.2">
      <c r="C185" t="s">
        <v>6</v>
      </c>
      <c r="D185">
        <v>398439</v>
      </c>
      <c r="E185">
        <v>609</v>
      </c>
      <c r="F185">
        <f t="shared" si="17"/>
        <v>26</v>
      </c>
      <c r="I185" t="s">
        <v>81</v>
      </c>
      <c r="J185" t="s">
        <v>82</v>
      </c>
      <c r="L185" t="str">
        <f t="shared" si="12"/>
        <v>2020/01/06</v>
      </c>
      <c r="M185" t="str">
        <f t="shared" si="13"/>
        <v>2020/02/01</v>
      </c>
      <c r="N185" t="s">
        <v>9</v>
      </c>
    </row>
    <row r="186" spans="1:14" x14ac:dyDescent="0.2">
      <c r="C186" t="s">
        <v>6</v>
      </c>
      <c r="D186">
        <v>685838</v>
      </c>
      <c r="E186">
        <v>893</v>
      </c>
      <c r="F186">
        <f t="shared" si="17"/>
        <v>26</v>
      </c>
      <c r="I186" t="s">
        <v>81</v>
      </c>
      <c r="J186" t="s">
        <v>82</v>
      </c>
      <c r="L186" t="str">
        <f t="shared" si="12"/>
        <v>2020/01/06</v>
      </c>
      <c r="M186" t="str">
        <f t="shared" si="13"/>
        <v>2020/02/01</v>
      </c>
      <c r="N186" t="s">
        <v>9</v>
      </c>
    </row>
    <row r="187" spans="1:14" x14ac:dyDescent="0.2">
      <c r="C187" t="s">
        <v>6</v>
      </c>
      <c r="D187">
        <v>77358</v>
      </c>
      <c r="E187">
        <v>248</v>
      </c>
      <c r="F187">
        <f t="shared" si="17"/>
        <v>3</v>
      </c>
      <c r="I187" t="s">
        <v>180</v>
      </c>
      <c r="J187" t="s">
        <v>181</v>
      </c>
      <c r="L187" t="str">
        <f t="shared" si="12"/>
        <v>2020/02/09</v>
      </c>
      <c r="M187" t="str">
        <f t="shared" si="13"/>
        <v>2020/02/12</v>
      </c>
      <c r="N187" t="s">
        <v>9</v>
      </c>
    </row>
    <row r="188" spans="1:14" x14ac:dyDescent="0.2">
      <c r="C188" t="s">
        <v>6</v>
      </c>
      <c r="D188">
        <v>284</v>
      </c>
      <c r="E188">
        <v>1</v>
      </c>
      <c r="F188">
        <f t="shared" si="17"/>
        <v>10</v>
      </c>
      <c r="I188" t="s">
        <v>7</v>
      </c>
      <c r="J188" t="s">
        <v>8</v>
      </c>
      <c r="L188" t="str">
        <f t="shared" si="12"/>
        <v>2020/02/23</v>
      </c>
      <c r="M188" t="str">
        <f t="shared" si="13"/>
        <v>2020/03/04</v>
      </c>
      <c r="N188" t="s">
        <v>9</v>
      </c>
    </row>
    <row r="189" spans="1:14" x14ac:dyDescent="0.2">
      <c r="C189" t="s">
        <v>6</v>
      </c>
      <c r="D189">
        <v>589126</v>
      </c>
      <c r="E189">
        <v>912</v>
      </c>
      <c r="F189">
        <f t="shared" si="17"/>
        <v>26</v>
      </c>
      <c r="I189" t="s">
        <v>81</v>
      </c>
      <c r="J189" t="s">
        <v>82</v>
      </c>
      <c r="L189" t="str">
        <f t="shared" si="12"/>
        <v>2020/01/06</v>
      </c>
      <c r="M189" t="str">
        <f t="shared" si="13"/>
        <v>2020/02/01</v>
      </c>
      <c r="N189" t="s">
        <v>9</v>
      </c>
    </row>
    <row r="190" spans="1:14" x14ac:dyDescent="0.2">
      <c r="C190" t="s">
        <v>6</v>
      </c>
      <c r="D190">
        <v>4356040</v>
      </c>
      <c r="E190">
        <v>41596</v>
      </c>
      <c r="F190">
        <f t="shared" si="17"/>
        <v>21</v>
      </c>
      <c r="I190" t="s">
        <v>154</v>
      </c>
      <c r="J190" t="s">
        <v>150</v>
      </c>
      <c r="L190" t="str">
        <f t="shared" si="12"/>
        <v>2020/01/08</v>
      </c>
      <c r="M190" t="str">
        <f t="shared" si="13"/>
        <v>2020/01/29</v>
      </c>
      <c r="N190" t="s">
        <v>9</v>
      </c>
    </row>
    <row r="191" spans="1:14" x14ac:dyDescent="0.2">
      <c r="A191" s="1"/>
      <c r="C191" t="s">
        <v>6</v>
      </c>
      <c r="D191">
        <v>93216</v>
      </c>
      <c r="E191">
        <v>283</v>
      </c>
      <c r="F191">
        <f t="shared" si="17"/>
        <v>2</v>
      </c>
      <c r="I191" t="s">
        <v>182</v>
      </c>
      <c r="J191" t="s">
        <v>183</v>
      </c>
      <c r="L191" t="str">
        <f t="shared" si="12"/>
        <v>2020/02/09</v>
      </c>
      <c r="M191" t="str">
        <f t="shared" si="13"/>
        <v>2020/02/11</v>
      </c>
      <c r="N191" t="s">
        <v>9</v>
      </c>
    </row>
    <row r="192" spans="1:14" hidden="1" x14ac:dyDescent="0.2">
      <c r="C192" t="s">
        <v>39</v>
      </c>
      <c r="D192">
        <v>557754</v>
      </c>
      <c r="E192">
        <v>1347</v>
      </c>
      <c r="F192">
        <f t="shared" si="17"/>
        <v>343</v>
      </c>
      <c r="I192" t="s">
        <v>83</v>
      </c>
      <c r="J192" t="s">
        <v>84</v>
      </c>
      <c r="L192" t="str">
        <f t="shared" si="12"/>
        <v>2020/01/24</v>
      </c>
      <c r="M192" t="str">
        <f t="shared" si="13"/>
        <v>2021/01/01</v>
      </c>
      <c r="N192" t="s">
        <v>41</v>
      </c>
    </row>
    <row r="193" spans="1:14" x14ac:dyDescent="0.2">
      <c r="C193" t="s">
        <v>6</v>
      </c>
      <c r="D193">
        <v>103517</v>
      </c>
      <c r="E193">
        <v>102</v>
      </c>
      <c r="F193">
        <f t="shared" si="17"/>
        <v>31</v>
      </c>
      <c r="I193" t="s">
        <v>45</v>
      </c>
      <c r="J193" t="s">
        <v>46</v>
      </c>
      <c r="L193" t="str">
        <f t="shared" si="12"/>
        <v>2020/01/01</v>
      </c>
      <c r="M193" t="str">
        <f t="shared" si="13"/>
        <v>2020/02/01</v>
      </c>
      <c r="N193" t="s">
        <v>9</v>
      </c>
    </row>
    <row r="194" spans="1:14" x14ac:dyDescent="0.2">
      <c r="A194" s="1"/>
      <c r="C194" t="s">
        <v>6</v>
      </c>
      <c r="D194">
        <v>184435</v>
      </c>
      <c r="E194">
        <v>493</v>
      </c>
      <c r="F194">
        <f t="shared" si="17"/>
        <v>40</v>
      </c>
      <c r="I194" t="s">
        <v>72</v>
      </c>
      <c r="J194" t="s">
        <v>73</v>
      </c>
      <c r="L194" t="str">
        <f t="shared" si="12"/>
        <v>2020/01/03</v>
      </c>
      <c r="M194" t="str">
        <f t="shared" si="13"/>
        <v>2020/02/12</v>
      </c>
      <c r="N194" t="s">
        <v>9</v>
      </c>
    </row>
    <row r="195" spans="1:14" hidden="1" x14ac:dyDescent="0.2">
      <c r="C195" t="s">
        <v>6</v>
      </c>
      <c r="D195">
        <v>532829</v>
      </c>
      <c r="E195">
        <v>1230</v>
      </c>
      <c r="I195" t="s">
        <v>184</v>
      </c>
      <c r="L195" t="str">
        <f t="shared" ref="L195:L258" si="18">LEFT(I195,FIND(" ",I195)-1)</f>
        <v>2020/01/24</v>
      </c>
      <c r="M195" t="e">
        <f t="shared" ref="M195:M258" si="19">LEFT(J195,FIND(" ",J195)-1)</f>
        <v>#VALUE!</v>
      </c>
      <c r="N195" t="s">
        <v>9</v>
      </c>
    </row>
    <row r="196" spans="1:14" hidden="1" x14ac:dyDescent="0.2">
      <c r="C196" t="s">
        <v>10</v>
      </c>
      <c r="D196">
        <v>99999</v>
      </c>
      <c r="E196">
        <v>133</v>
      </c>
      <c r="F196">
        <f>M196-L196</f>
        <v>14</v>
      </c>
      <c r="I196" t="s">
        <v>185</v>
      </c>
      <c r="J196" t="s">
        <v>186</v>
      </c>
      <c r="L196" t="str">
        <f t="shared" si="18"/>
        <v>2020/01/15</v>
      </c>
      <c r="M196" t="str">
        <f t="shared" si="19"/>
        <v>2020/01/29</v>
      </c>
      <c r="N196" t="s">
        <v>187</v>
      </c>
    </row>
    <row r="197" spans="1:14" x14ac:dyDescent="0.2">
      <c r="C197" t="s">
        <v>6</v>
      </c>
      <c r="D197">
        <v>6736</v>
      </c>
      <c r="E197">
        <v>22</v>
      </c>
      <c r="F197">
        <f>M197-L197</f>
        <v>111</v>
      </c>
      <c r="I197" t="s">
        <v>147</v>
      </c>
      <c r="J197" t="s">
        <v>148</v>
      </c>
      <c r="L197" t="str">
        <f t="shared" si="18"/>
        <v>2020/02/10</v>
      </c>
      <c r="M197" t="str">
        <f t="shared" si="19"/>
        <v>2020/05/31</v>
      </c>
      <c r="N197" t="s">
        <v>9</v>
      </c>
    </row>
    <row r="198" spans="1:14" hidden="1" x14ac:dyDescent="0.2">
      <c r="C198" t="s">
        <v>10</v>
      </c>
      <c r="D198">
        <v>1679</v>
      </c>
      <c r="E198">
        <v>0</v>
      </c>
      <c r="I198" t="s">
        <v>36</v>
      </c>
      <c r="L198" t="str">
        <f t="shared" si="18"/>
        <v>2020/01/17</v>
      </c>
      <c r="M198" t="e">
        <f t="shared" si="19"/>
        <v>#VALUE!</v>
      </c>
      <c r="N198" t="s">
        <v>28</v>
      </c>
    </row>
    <row r="199" spans="1:14" x14ac:dyDescent="0.2">
      <c r="C199" t="s">
        <v>6</v>
      </c>
      <c r="D199">
        <v>70759</v>
      </c>
      <c r="E199">
        <v>96</v>
      </c>
      <c r="F199">
        <f>M199-L199</f>
        <v>14</v>
      </c>
      <c r="I199" t="s">
        <v>172</v>
      </c>
      <c r="J199" t="s">
        <v>173</v>
      </c>
      <c r="L199" t="str">
        <f t="shared" si="18"/>
        <v>2020/02/03</v>
      </c>
      <c r="M199" t="str">
        <f t="shared" si="19"/>
        <v>2020/02/17</v>
      </c>
      <c r="N199" t="s">
        <v>9</v>
      </c>
    </row>
    <row r="200" spans="1:14" hidden="1" x14ac:dyDescent="0.2">
      <c r="C200" t="s">
        <v>6</v>
      </c>
      <c r="D200">
        <v>4427</v>
      </c>
      <c r="E200">
        <v>7</v>
      </c>
      <c r="I200" t="s">
        <v>188</v>
      </c>
      <c r="L200" t="str">
        <f t="shared" si="18"/>
        <v>2020/01/20</v>
      </c>
      <c r="M200" t="e">
        <f t="shared" si="19"/>
        <v>#VALUE!</v>
      </c>
      <c r="N200" t="s">
        <v>9</v>
      </c>
    </row>
    <row r="201" spans="1:14" x14ac:dyDescent="0.2">
      <c r="C201" t="s">
        <v>6</v>
      </c>
      <c r="D201">
        <v>75188</v>
      </c>
      <c r="E201">
        <v>97</v>
      </c>
      <c r="F201">
        <f>M201-L201</f>
        <v>287</v>
      </c>
      <c r="I201" t="s">
        <v>113</v>
      </c>
      <c r="J201" t="s">
        <v>114</v>
      </c>
      <c r="L201" t="str">
        <f t="shared" si="18"/>
        <v>2019/11/18</v>
      </c>
      <c r="M201" t="str">
        <f t="shared" si="19"/>
        <v>2020/08/31</v>
      </c>
      <c r="N201" t="s">
        <v>9</v>
      </c>
    </row>
    <row r="202" spans="1:14" x14ac:dyDescent="0.2">
      <c r="C202" t="s">
        <v>6</v>
      </c>
      <c r="D202">
        <v>2308621</v>
      </c>
      <c r="E202">
        <v>3389</v>
      </c>
      <c r="F202">
        <f>M202-L202</f>
        <v>17</v>
      </c>
      <c r="I202" t="s">
        <v>189</v>
      </c>
      <c r="J202" t="s">
        <v>190</v>
      </c>
      <c r="L202" t="str">
        <f t="shared" si="18"/>
        <v>2020/01/22</v>
      </c>
      <c r="M202" t="str">
        <f t="shared" si="19"/>
        <v>2020/02/08</v>
      </c>
      <c r="N202" t="s">
        <v>9</v>
      </c>
    </row>
    <row r="203" spans="1:14" hidden="1" x14ac:dyDescent="0.2">
      <c r="C203" t="s">
        <v>6</v>
      </c>
      <c r="D203">
        <v>62427</v>
      </c>
      <c r="E203">
        <v>38</v>
      </c>
      <c r="I203" t="s">
        <v>191</v>
      </c>
      <c r="L203" t="str">
        <f t="shared" si="18"/>
        <v>2020/02/14</v>
      </c>
      <c r="M203" t="e">
        <f t="shared" si="19"/>
        <v>#VALUE!</v>
      </c>
      <c r="N203" t="s">
        <v>9</v>
      </c>
    </row>
    <row r="204" spans="1:14" hidden="1" x14ac:dyDescent="0.2">
      <c r="C204" t="s">
        <v>10</v>
      </c>
      <c r="D204">
        <v>20871</v>
      </c>
      <c r="E204">
        <v>10</v>
      </c>
      <c r="F204">
        <f>M204-L204</f>
        <v>1</v>
      </c>
      <c r="I204" t="s">
        <v>192</v>
      </c>
      <c r="J204" t="s">
        <v>193</v>
      </c>
      <c r="L204" t="str">
        <f t="shared" si="18"/>
        <v>2020/01/11</v>
      </c>
      <c r="M204" t="str">
        <f t="shared" si="19"/>
        <v>2020/01/12</v>
      </c>
      <c r="N204" t="s">
        <v>28</v>
      </c>
    </row>
    <row r="205" spans="1:14" x14ac:dyDescent="0.2">
      <c r="C205" t="s">
        <v>6</v>
      </c>
      <c r="D205">
        <v>2967735</v>
      </c>
      <c r="E205">
        <v>28872</v>
      </c>
      <c r="F205">
        <f>M205-L205</f>
        <v>8</v>
      </c>
      <c r="I205" t="s">
        <v>62</v>
      </c>
      <c r="J205" t="s">
        <v>63</v>
      </c>
      <c r="L205" t="str">
        <f t="shared" si="18"/>
        <v>2020/02/08</v>
      </c>
      <c r="M205" t="str">
        <f t="shared" si="19"/>
        <v>2020/02/16</v>
      </c>
      <c r="N205" t="s">
        <v>9</v>
      </c>
    </row>
    <row r="206" spans="1:14" x14ac:dyDescent="0.2">
      <c r="C206" t="s">
        <v>6</v>
      </c>
      <c r="D206">
        <v>221329</v>
      </c>
      <c r="E206">
        <v>370</v>
      </c>
      <c r="F206">
        <f>M206-L206</f>
        <v>12</v>
      </c>
      <c r="I206" t="s">
        <v>19</v>
      </c>
      <c r="J206" t="s">
        <v>20</v>
      </c>
      <c r="L206" t="str">
        <f t="shared" si="18"/>
        <v>2020/01/23</v>
      </c>
      <c r="M206" t="str">
        <f t="shared" si="19"/>
        <v>2020/02/04</v>
      </c>
      <c r="N206" t="s">
        <v>9</v>
      </c>
    </row>
    <row r="207" spans="1:14" hidden="1" x14ac:dyDescent="0.2">
      <c r="C207" t="s">
        <v>10</v>
      </c>
      <c r="D207">
        <v>1237</v>
      </c>
      <c r="E207">
        <v>0</v>
      </c>
      <c r="I207" t="s">
        <v>36</v>
      </c>
      <c r="L207" t="str">
        <f t="shared" si="18"/>
        <v>2020/01/17</v>
      </c>
      <c r="M207" t="e">
        <f t="shared" si="19"/>
        <v>#VALUE!</v>
      </c>
      <c r="N207" t="s">
        <v>28</v>
      </c>
    </row>
    <row r="208" spans="1:14" hidden="1" x14ac:dyDescent="0.2">
      <c r="C208" t="s">
        <v>6</v>
      </c>
      <c r="D208">
        <v>41890</v>
      </c>
      <c r="E208">
        <v>75</v>
      </c>
      <c r="I208" t="s">
        <v>194</v>
      </c>
      <c r="L208" t="str">
        <f t="shared" si="18"/>
        <v>2020/01/04</v>
      </c>
      <c r="M208" t="e">
        <f t="shared" si="19"/>
        <v>#VALUE!</v>
      </c>
      <c r="N208" t="s">
        <v>9</v>
      </c>
    </row>
    <row r="209" spans="3:14" x14ac:dyDescent="0.2">
      <c r="C209" t="s">
        <v>6</v>
      </c>
      <c r="D209">
        <v>1</v>
      </c>
      <c r="E209">
        <v>0</v>
      </c>
      <c r="F209">
        <f t="shared" ref="F209:F214" si="20">M209-L209</f>
        <v>10</v>
      </c>
      <c r="I209" t="s">
        <v>133</v>
      </c>
      <c r="J209" t="s">
        <v>134</v>
      </c>
      <c r="L209" t="str">
        <f t="shared" si="18"/>
        <v>2020/02/22</v>
      </c>
      <c r="M209" t="str">
        <f t="shared" si="19"/>
        <v>2020/03/03</v>
      </c>
      <c r="N209" t="s">
        <v>9</v>
      </c>
    </row>
    <row r="210" spans="3:14" x14ac:dyDescent="0.2">
      <c r="C210" t="s">
        <v>6</v>
      </c>
      <c r="D210">
        <v>29578</v>
      </c>
      <c r="E210">
        <v>48</v>
      </c>
      <c r="F210">
        <f t="shared" si="20"/>
        <v>226</v>
      </c>
      <c r="I210" t="s">
        <v>21</v>
      </c>
      <c r="J210" t="s">
        <v>22</v>
      </c>
      <c r="L210" t="str">
        <f t="shared" si="18"/>
        <v>2019/10/18</v>
      </c>
      <c r="M210" t="str">
        <f t="shared" si="19"/>
        <v>2020/05/31</v>
      </c>
      <c r="N210" t="s">
        <v>9</v>
      </c>
    </row>
    <row r="211" spans="3:14" x14ac:dyDescent="0.2">
      <c r="C211" t="s">
        <v>6</v>
      </c>
      <c r="D211">
        <v>66940</v>
      </c>
      <c r="E211">
        <v>65</v>
      </c>
      <c r="F211">
        <f t="shared" si="20"/>
        <v>31</v>
      </c>
      <c r="I211" t="s">
        <v>45</v>
      </c>
      <c r="J211" t="s">
        <v>46</v>
      </c>
      <c r="L211" t="str">
        <f t="shared" si="18"/>
        <v>2020/01/01</v>
      </c>
      <c r="M211" t="str">
        <f t="shared" si="19"/>
        <v>2020/02/01</v>
      </c>
      <c r="N211" t="s">
        <v>9</v>
      </c>
    </row>
    <row r="212" spans="3:14" x14ac:dyDescent="0.2">
      <c r="C212" t="s">
        <v>6</v>
      </c>
      <c r="D212">
        <v>108352</v>
      </c>
      <c r="E212">
        <v>196</v>
      </c>
      <c r="F212">
        <f t="shared" si="20"/>
        <v>40</v>
      </c>
      <c r="I212" t="s">
        <v>72</v>
      </c>
      <c r="J212" t="s">
        <v>73</v>
      </c>
      <c r="L212" t="str">
        <f t="shared" si="18"/>
        <v>2020/01/03</v>
      </c>
      <c r="M212" t="str">
        <f t="shared" si="19"/>
        <v>2020/02/12</v>
      </c>
      <c r="N212" t="s">
        <v>9</v>
      </c>
    </row>
    <row r="213" spans="3:14" x14ac:dyDescent="0.2">
      <c r="C213" t="s">
        <v>6</v>
      </c>
      <c r="D213">
        <v>67298</v>
      </c>
      <c r="E213">
        <v>153</v>
      </c>
      <c r="F213">
        <f t="shared" si="20"/>
        <v>32</v>
      </c>
      <c r="I213" t="s">
        <v>152</v>
      </c>
      <c r="J213" t="s">
        <v>153</v>
      </c>
      <c r="L213" t="str">
        <f t="shared" si="18"/>
        <v>2020/01/28</v>
      </c>
      <c r="M213" t="str">
        <f t="shared" si="19"/>
        <v>2020/02/29</v>
      </c>
      <c r="N213" t="s">
        <v>9</v>
      </c>
    </row>
    <row r="214" spans="3:14" x14ac:dyDescent="0.2">
      <c r="C214" t="s">
        <v>6</v>
      </c>
      <c r="D214">
        <v>205568</v>
      </c>
      <c r="E214">
        <v>391</v>
      </c>
      <c r="F214">
        <f t="shared" si="20"/>
        <v>226</v>
      </c>
      <c r="I214" t="s">
        <v>21</v>
      </c>
      <c r="J214" t="s">
        <v>22</v>
      </c>
      <c r="L214" t="str">
        <f t="shared" si="18"/>
        <v>2019/10/18</v>
      </c>
      <c r="M214" t="str">
        <f t="shared" si="19"/>
        <v>2020/05/31</v>
      </c>
      <c r="N214" t="s">
        <v>9</v>
      </c>
    </row>
    <row r="215" spans="3:14" hidden="1" x14ac:dyDescent="0.2">
      <c r="C215" t="s">
        <v>6</v>
      </c>
      <c r="D215">
        <v>14776344</v>
      </c>
      <c r="E215">
        <v>14311</v>
      </c>
      <c r="I215" t="s">
        <v>195</v>
      </c>
      <c r="L215" t="str">
        <f t="shared" si="18"/>
        <v>2020/01/30</v>
      </c>
      <c r="M215" t="e">
        <f t="shared" si="19"/>
        <v>#VALUE!</v>
      </c>
      <c r="N215" t="s">
        <v>9</v>
      </c>
    </row>
    <row r="216" spans="3:14" x14ac:dyDescent="0.2">
      <c r="C216" t="s">
        <v>6</v>
      </c>
      <c r="D216">
        <v>27521</v>
      </c>
      <c r="E216">
        <v>154</v>
      </c>
      <c r="F216">
        <f>M216-L216</f>
        <v>105</v>
      </c>
      <c r="I216" t="s">
        <v>158</v>
      </c>
      <c r="J216" t="s">
        <v>159</v>
      </c>
      <c r="L216" t="str">
        <f t="shared" si="18"/>
        <v>2020/02/17</v>
      </c>
      <c r="M216" t="str">
        <f t="shared" si="19"/>
        <v>2020/06/01</v>
      </c>
      <c r="N216" t="s">
        <v>9</v>
      </c>
    </row>
    <row r="217" spans="3:14" x14ac:dyDescent="0.2">
      <c r="C217" t="s">
        <v>6</v>
      </c>
      <c r="D217">
        <v>1185651</v>
      </c>
      <c r="E217">
        <v>1282</v>
      </c>
      <c r="F217">
        <f>M217-L217</f>
        <v>63</v>
      </c>
      <c r="I217" t="s">
        <v>18</v>
      </c>
      <c r="J217" t="s">
        <v>15</v>
      </c>
      <c r="L217" t="str">
        <f t="shared" si="18"/>
        <v>2020/01/29</v>
      </c>
      <c r="M217" t="str">
        <f t="shared" si="19"/>
        <v>2020/04/01</v>
      </c>
      <c r="N217" t="s">
        <v>9</v>
      </c>
    </row>
    <row r="218" spans="3:14" x14ac:dyDescent="0.2">
      <c r="C218" t="s">
        <v>6</v>
      </c>
      <c r="D218">
        <v>165080</v>
      </c>
      <c r="E218">
        <v>189</v>
      </c>
      <c r="F218">
        <f>M218-L218</f>
        <v>31</v>
      </c>
      <c r="I218" t="s">
        <v>45</v>
      </c>
      <c r="J218" t="s">
        <v>46</v>
      </c>
      <c r="L218" t="str">
        <f t="shared" si="18"/>
        <v>2020/01/01</v>
      </c>
      <c r="M218" t="str">
        <f t="shared" si="19"/>
        <v>2020/02/01</v>
      </c>
      <c r="N218" t="s">
        <v>9</v>
      </c>
    </row>
    <row r="219" spans="3:14" x14ac:dyDescent="0.2">
      <c r="C219" t="s">
        <v>6</v>
      </c>
      <c r="D219">
        <v>332</v>
      </c>
      <c r="E219">
        <v>1</v>
      </c>
      <c r="F219">
        <f>M219-L219</f>
        <v>10</v>
      </c>
      <c r="I219" t="s">
        <v>7</v>
      </c>
      <c r="J219" t="s">
        <v>8</v>
      </c>
      <c r="L219" t="str">
        <f t="shared" si="18"/>
        <v>2020/02/23</v>
      </c>
      <c r="M219" t="str">
        <f t="shared" si="19"/>
        <v>2020/03/04</v>
      </c>
      <c r="N219" t="s">
        <v>9</v>
      </c>
    </row>
    <row r="220" spans="3:14" hidden="1" x14ac:dyDescent="0.2">
      <c r="C220" t="s">
        <v>6</v>
      </c>
      <c r="D220">
        <v>2079</v>
      </c>
      <c r="E220">
        <v>5</v>
      </c>
      <c r="I220" t="s">
        <v>196</v>
      </c>
      <c r="L220" t="str">
        <f t="shared" si="18"/>
        <v>2020/01/24</v>
      </c>
      <c r="M220" t="e">
        <f t="shared" si="19"/>
        <v>#VALUE!</v>
      </c>
      <c r="N220" t="s">
        <v>9</v>
      </c>
    </row>
    <row r="221" spans="3:14" hidden="1" x14ac:dyDescent="0.2">
      <c r="C221" t="s">
        <v>10</v>
      </c>
      <c r="D221">
        <v>978</v>
      </c>
      <c r="E221">
        <v>0</v>
      </c>
      <c r="I221" t="s">
        <v>36</v>
      </c>
      <c r="L221" t="str">
        <f t="shared" si="18"/>
        <v>2020/01/17</v>
      </c>
      <c r="M221" t="e">
        <f t="shared" si="19"/>
        <v>#VALUE!</v>
      </c>
      <c r="N221" t="s">
        <v>28</v>
      </c>
    </row>
    <row r="222" spans="3:14" x14ac:dyDescent="0.2">
      <c r="C222" t="s">
        <v>6</v>
      </c>
      <c r="D222">
        <v>80659</v>
      </c>
      <c r="E222">
        <v>200</v>
      </c>
      <c r="F222">
        <f>M222-L222</f>
        <v>26</v>
      </c>
      <c r="I222" t="s">
        <v>197</v>
      </c>
      <c r="J222" t="s">
        <v>198</v>
      </c>
      <c r="L222" t="str">
        <f t="shared" si="18"/>
        <v>2020/01/16</v>
      </c>
      <c r="M222" t="str">
        <f t="shared" si="19"/>
        <v>2020/02/11</v>
      </c>
      <c r="N222" t="s">
        <v>9</v>
      </c>
    </row>
    <row r="223" spans="3:14" hidden="1" x14ac:dyDescent="0.2">
      <c r="C223" t="s">
        <v>10</v>
      </c>
      <c r="D223">
        <v>1316</v>
      </c>
      <c r="E223">
        <v>0</v>
      </c>
      <c r="I223" t="s">
        <v>36</v>
      </c>
      <c r="L223" t="str">
        <f t="shared" si="18"/>
        <v>2020/01/17</v>
      </c>
      <c r="M223" t="e">
        <f t="shared" si="19"/>
        <v>#VALUE!</v>
      </c>
      <c r="N223" t="s">
        <v>28</v>
      </c>
    </row>
    <row r="224" spans="3:14" x14ac:dyDescent="0.2">
      <c r="C224" t="s">
        <v>6</v>
      </c>
      <c r="D224">
        <v>1681141</v>
      </c>
      <c r="E224">
        <v>16192</v>
      </c>
      <c r="F224">
        <f>M224-L224</f>
        <v>8</v>
      </c>
      <c r="I224" t="s">
        <v>62</v>
      </c>
      <c r="J224" t="s">
        <v>63</v>
      </c>
      <c r="L224" t="str">
        <f t="shared" si="18"/>
        <v>2020/02/08</v>
      </c>
      <c r="M224" t="str">
        <f t="shared" si="19"/>
        <v>2020/02/16</v>
      </c>
      <c r="N224" t="s">
        <v>9</v>
      </c>
    </row>
    <row r="225" spans="3:14" x14ac:dyDescent="0.2">
      <c r="C225" t="s">
        <v>6</v>
      </c>
      <c r="D225">
        <v>465849</v>
      </c>
      <c r="E225">
        <v>934</v>
      </c>
      <c r="F225">
        <f>M225-L225</f>
        <v>12</v>
      </c>
      <c r="I225" t="s">
        <v>55</v>
      </c>
      <c r="J225" t="s">
        <v>46</v>
      </c>
      <c r="L225" t="str">
        <f t="shared" si="18"/>
        <v>2020/01/20</v>
      </c>
      <c r="M225" t="str">
        <f t="shared" si="19"/>
        <v>2020/02/01</v>
      </c>
      <c r="N225" t="s">
        <v>9</v>
      </c>
    </row>
    <row r="226" spans="3:14" x14ac:dyDescent="0.2">
      <c r="C226" t="s">
        <v>6</v>
      </c>
      <c r="D226">
        <v>6896574</v>
      </c>
      <c r="E226">
        <v>7272</v>
      </c>
      <c r="F226">
        <f>M226-L226</f>
        <v>63</v>
      </c>
      <c r="I226" t="s">
        <v>18</v>
      </c>
      <c r="J226" t="s">
        <v>15</v>
      </c>
      <c r="L226" t="str">
        <f t="shared" si="18"/>
        <v>2020/01/29</v>
      </c>
      <c r="M226" t="str">
        <f t="shared" si="19"/>
        <v>2020/04/01</v>
      </c>
      <c r="N226" t="s">
        <v>9</v>
      </c>
    </row>
    <row r="227" spans="3:14" hidden="1" x14ac:dyDescent="0.2">
      <c r="C227" t="s">
        <v>56</v>
      </c>
      <c r="D227">
        <v>31976</v>
      </c>
      <c r="E227">
        <v>83</v>
      </c>
      <c r="F227">
        <f>M227-L227</f>
        <v>8</v>
      </c>
      <c r="I227" t="s">
        <v>88</v>
      </c>
      <c r="J227" t="s">
        <v>89</v>
      </c>
      <c r="L227" t="str">
        <f t="shared" si="18"/>
        <v>2020/01/20</v>
      </c>
      <c r="M227" t="str">
        <f t="shared" si="19"/>
        <v>2020/01/28</v>
      </c>
      <c r="N227" t="s">
        <v>59</v>
      </c>
    </row>
    <row r="228" spans="3:14" x14ac:dyDescent="0.2">
      <c r="C228" t="s">
        <v>6</v>
      </c>
      <c r="D228">
        <v>2276323</v>
      </c>
      <c r="E228">
        <v>2757</v>
      </c>
      <c r="F228">
        <f>M228-L228</f>
        <v>63</v>
      </c>
      <c r="I228" t="s">
        <v>18</v>
      </c>
      <c r="J228" t="s">
        <v>15</v>
      </c>
      <c r="L228" t="str">
        <f t="shared" si="18"/>
        <v>2020/01/29</v>
      </c>
      <c r="M228" t="str">
        <f t="shared" si="19"/>
        <v>2020/04/01</v>
      </c>
      <c r="N228" t="s">
        <v>9</v>
      </c>
    </row>
    <row r="229" spans="3:14" hidden="1" x14ac:dyDescent="0.2">
      <c r="C229" t="s">
        <v>39</v>
      </c>
      <c r="D229">
        <v>18696</v>
      </c>
      <c r="E229">
        <v>44</v>
      </c>
      <c r="I229" t="s">
        <v>40</v>
      </c>
      <c r="L229" t="str">
        <f t="shared" si="18"/>
        <v>2020/02/01</v>
      </c>
      <c r="M229" t="e">
        <f t="shared" si="19"/>
        <v>#VALUE!</v>
      </c>
      <c r="N229" t="s">
        <v>41</v>
      </c>
    </row>
    <row r="230" spans="3:14" x14ac:dyDescent="0.2">
      <c r="C230" t="s">
        <v>6</v>
      </c>
      <c r="D230">
        <v>90317</v>
      </c>
      <c r="E230">
        <v>206</v>
      </c>
      <c r="F230">
        <f>M230-L230</f>
        <v>81</v>
      </c>
      <c r="I230" t="s">
        <v>70</v>
      </c>
      <c r="J230" t="s">
        <v>71</v>
      </c>
      <c r="L230" t="str">
        <f t="shared" si="18"/>
        <v>2019/11/19</v>
      </c>
      <c r="M230" t="str">
        <f t="shared" si="19"/>
        <v>2020/02/08</v>
      </c>
      <c r="N230" t="s">
        <v>9</v>
      </c>
    </row>
    <row r="231" spans="3:14" hidden="1" x14ac:dyDescent="0.2">
      <c r="C231" t="s">
        <v>6</v>
      </c>
      <c r="D231">
        <v>546749</v>
      </c>
      <c r="E231">
        <v>965</v>
      </c>
      <c r="I231" t="s">
        <v>199</v>
      </c>
      <c r="L231" t="str">
        <f t="shared" si="18"/>
        <v>2020/01/10</v>
      </c>
      <c r="M231" t="e">
        <f t="shared" si="19"/>
        <v>#VALUE!</v>
      </c>
      <c r="N231" t="s">
        <v>9</v>
      </c>
    </row>
    <row r="232" spans="3:14" hidden="1" x14ac:dyDescent="0.2">
      <c r="C232" t="s">
        <v>6</v>
      </c>
      <c r="D232">
        <v>16329</v>
      </c>
      <c r="E232">
        <v>20</v>
      </c>
      <c r="I232" t="s">
        <v>200</v>
      </c>
      <c r="L232" t="str">
        <f t="shared" si="18"/>
        <v>2020/01/20</v>
      </c>
      <c r="M232" t="e">
        <f t="shared" si="19"/>
        <v>#VALUE!</v>
      </c>
      <c r="N232" t="s">
        <v>9</v>
      </c>
    </row>
    <row r="233" spans="3:14" x14ac:dyDescent="0.2">
      <c r="C233" t="s">
        <v>6</v>
      </c>
      <c r="D233">
        <v>177297</v>
      </c>
      <c r="E233">
        <v>349</v>
      </c>
      <c r="F233">
        <f>M233-L233</f>
        <v>12</v>
      </c>
      <c r="I233" t="s">
        <v>19</v>
      </c>
      <c r="J233" t="s">
        <v>20</v>
      </c>
      <c r="L233" t="str">
        <f t="shared" si="18"/>
        <v>2020/01/23</v>
      </c>
      <c r="M233" t="str">
        <f t="shared" si="19"/>
        <v>2020/02/04</v>
      </c>
      <c r="N233" t="s">
        <v>9</v>
      </c>
    </row>
    <row r="234" spans="3:14" x14ac:dyDescent="0.2">
      <c r="C234" t="s">
        <v>6</v>
      </c>
      <c r="D234">
        <v>508517</v>
      </c>
      <c r="E234">
        <v>1070</v>
      </c>
      <c r="F234">
        <f>M234-L234</f>
        <v>86</v>
      </c>
      <c r="I234" t="s">
        <v>201</v>
      </c>
      <c r="J234" t="s">
        <v>202</v>
      </c>
      <c r="L234" t="str">
        <f t="shared" si="18"/>
        <v>2019/11/06</v>
      </c>
      <c r="M234" t="str">
        <f t="shared" si="19"/>
        <v>2020/01/31</v>
      </c>
      <c r="N234" t="s">
        <v>9</v>
      </c>
    </row>
    <row r="235" spans="3:14" x14ac:dyDescent="0.2">
      <c r="C235" t="s">
        <v>6</v>
      </c>
      <c r="D235">
        <v>67144</v>
      </c>
      <c r="E235">
        <v>125</v>
      </c>
      <c r="F235">
        <f>M235-L235</f>
        <v>63</v>
      </c>
      <c r="I235" t="s">
        <v>18</v>
      </c>
      <c r="J235" t="s">
        <v>15</v>
      </c>
      <c r="L235" t="str">
        <f t="shared" si="18"/>
        <v>2020/01/29</v>
      </c>
      <c r="M235" t="str">
        <f t="shared" si="19"/>
        <v>2020/04/01</v>
      </c>
      <c r="N235" t="s">
        <v>9</v>
      </c>
    </row>
    <row r="236" spans="3:14" hidden="1" x14ac:dyDescent="0.2">
      <c r="C236" t="s">
        <v>10</v>
      </c>
      <c r="D236">
        <v>870</v>
      </c>
      <c r="E236">
        <v>0</v>
      </c>
      <c r="I236" t="s">
        <v>36</v>
      </c>
      <c r="L236" t="str">
        <f t="shared" si="18"/>
        <v>2020/01/17</v>
      </c>
      <c r="M236" t="e">
        <f t="shared" si="19"/>
        <v>#VALUE!</v>
      </c>
      <c r="N236" t="s">
        <v>28</v>
      </c>
    </row>
    <row r="237" spans="3:14" hidden="1" x14ac:dyDescent="0.2">
      <c r="C237" t="s">
        <v>6</v>
      </c>
      <c r="D237">
        <v>2254178</v>
      </c>
      <c r="E237">
        <v>1169</v>
      </c>
      <c r="I237" t="s">
        <v>203</v>
      </c>
      <c r="L237" t="str">
        <f t="shared" si="18"/>
        <v>2020/02/19</v>
      </c>
      <c r="M237" t="e">
        <f t="shared" si="19"/>
        <v>#VALUE!</v>
      </c>
      <c r="N237" t="s">
        <v>9</v>
      </c>
    </row>
    <row r="238" spans="3:14" hidden="1" x14ac:dyDescent="0.2">
      <c r="C238" t="s">
        <v>56</v>
      </c>
      <c r="D238">
        <v>2459698</v>
      </c>
      <c r="E238">
        <v>3404</v>
      </c>
      <c r="F238">
        <f>M238-L238</f>
        <v>41</v>
      </c>
      <c r="I238" t="s">
        <v>57</v>
      </c>
      <c r="J238" t="s">
        <v>58</v>
      </c>
      <c r="L238" t="str">
        <f t="shared" si="18"/>
        <v>2020/01/21</v>
      </c>
      <c r="M238" t="str">
        <f t="shared" si="19"/>
        <v>2020/03/02</v>
      </c>
      <c r="N238" t="s">
        <v>59</v>
      </c>
    </row>
    <row r="239" spans="3:14" hidden="1" x14ac:dyDescent="0.2">
      <c r="C239" t="s">
        <v>10</v>
      </c>
      <c r="D239">
        <v>21642</v>
      </c>
      <c r="E239">
        <v>12</v>
      </c>
      <c r="F239">
        <f>M239-L239</f>
        <v>1</v>
      </c>
      <c r="I239" t="s">
        <v>204</v>
      </c>
      <c r="J239" t="s">
        <v>205</v>
      </c>
      <c r="L239" t="str">
        <f t="shared" si="18"/>
        <v>2020/01/29</v>
      </c>
      <c r="M239" t="str">
        <f t="shared" si="19"/>
        <v>2020/01/30</v>
      </c>
      <c r="N239" t="s">
        <v>28</v>
      </c>
    </row>
    <row r="240" spans="3:14" hidden="1" x14ac:dyDescent="0.2">
      <c r="C240" t="s">
        <v>6</v>
      </c>
      <c r="D240">
        <v>38313</v>
      </c>
      <c r="E240">
        <v>105</v>
      </c>
      <c r="I240" t="s">
        <v>206</v>
      </c>
      <c r="L240" t="str">
        <f t="shared" si="18"/>
        <v>2020/02/03</v>
      </c>
      <c r="M240" t="e">
        <f t="shared" si="19"/>
        <v>#VALUE!</v>
      </c>
      <c r="N240" t="s">
        <v>9</v>
      </c>
    </row>
    <row r="241" spans="1:14" hidden="1" x14ac:dyDescent="0.2">
      <c r="C241" t="s">
        <v>6</v>
      </c>
      <c r="D241">
        <v>1329713</v>
      </c>
      <c r="E241">
        <v>903</v>
      </c>
      <c r="I241" t="s">
        <v>207</v>
      </c>
      <c r="L241" t="str">
        <f t="shared" si="18"/>
        <v>2020/01/14</v>
      </c>
      <c r="M241" t="e">
        <f t="shared" si="19"/>
        <v>#VALUE!</v>
      </c>
      <c r="N241" t="s">
        <v>9</v>
      </c>
    </row>
    <row r="242" spans="1:14" hidden="1" x14ac:dyDescent="0.2">
      <c r="C242" t="s">
        <v>39</v>
      </c>
      <c r="D242">
        <v>28629</v>
      </c>
      <c r="E242">
        <v>62</v>
      </c>
      <c r="I242" t="s">
        <v>40</v>
      </c>
      <c r="L242" t="str">
        <f t="shared" si="18"/>
        <v>2020/02/01</v>
      </c>
      <c r="M242" t="e">
        <f t="shared" si="19"/>
        <v>#VALUE!</v>
      </c>
      <c r="N242" t="s">
        <v>41</v>
      </c>
    </row>
    <row r="243" spans="1:14" hidden="1" x14ac:dyDescent="0.2">
      <c r="C243" t="s">
        <v>127</v>
      </c>
      <c r="D243">
        <v>5494186</v>
      </c>
      <c r="E243">
        <v>6533</v>
      </c>
      <c r="F243">
        <f>M243-L243</f>
        <v>26</v>
      </c>
      <c r="I243" t="s">
        <v>208</v>
      </c>
      <c r="J243" t="s">
        <v>209</v>
      </c>
      <c r="L243" t="str">
        <f t="shared" si="18"/>
        <v>2020/01/27</v>
      </c>
      <c r="M243" t="str">
        <f t="shared" si="19"/>
        <v>2020/02/22</v>
      </c>
      <c r="N243" t="s">
        <v>130</v>
      </c>
    </row>
    <row r="244" spans="1:14" x14ac:dyDescent="0.2">
      <c r="C244" t="s">
        <v>6</v>
      </c>
      <c r="D244">
        <v>165984</v>
      </c>
      <c r="E244">
        <v>429</v>
      </c>
      <c r="F244">
        <f>M244-L244</f>
        <v>32</v>
      </c>
      <c r="I244" t="s">
        <v>72</v>
      </c>
      <c r="J244" t="s">
        <v>104</v>
      </c>
      <c r="L244" t="str">
        <f t="shared" si="18"/>
        <v>2020/01/03</v>
      </c>
      <c r="M244" t="str">
        <f t="shared" si="19"/>
        <v>2020/02/04</v>
      </c>
      <c r="N244" t="s">
        <v>9</v>
      </c>
    </row>
    <row r="245" spans="1:14" x14ac:dyDescent="0.2">
      <c r="C245" t="s">
        <v>6</v>
      </c>
      <c r="D245">
        <v>96409</v>
      </c>
      <c r="E245">
        <v>164</v>
      </c>
      <c r="F245">
        <f>M245-L245</f>
        <v>40</v>
      </c>
      <c r="I245" t="s">
        <v>72</v>
      </c>
      <c r="J245" t="s">
        <v>73</v>
      </c>
      <c r="L245" t="str">
        <f t="shared" si="18"/>
        <v>2020/01/03</v>
      </c>
      <c r="M245" t="str">
        <f t="shared" si="19"/>
        <v>2020/02/12</v>
      </c>
      <c r="N245" t="s">
        <v>9</v>
      </c>
    </row>
    <row r="246" spans="1:14" x14ac:dyDescent="0.2">
      <c r="C246" t="s">
        <v>6</v>
      </c>
      <c r="D246">
        <v>21299</v>
      </c>
      <c r="E246">
        <v>74</v>
      </c>
      <c r="F246">
        <f>M246-L246</f>
        <v>6</v>
      </c>
      <c r="I246" t="s">
        <v>210</v>
      </c>
      <c r="J246" t="s">
        <v>163</v>
      </c>
      <c r="L246" t="str">
        <f t="shared" si="18"/>
        <v>2020/01/10</v>
      </c>
      <c r="M246" t="str">
        <f t="shared" si="19"/>
        <v>2020/01/16</v>
      </c>
      <c r="N246" t="s">
        <v>9</v>
      </c>
    </row>
    <row r="247" spans="1:14" hidden="1" x14ac:dyDescent="0.2">
      <c r="C247" t="s">
        <v>10</v>
      </c>
      <c r="D247">
        <v>3535</v>
      </c>
      <c r="E247">
        <v>2</v>
      </c>
      <c r="I247" t="s">
        <v>36</v>
      </c>
      <c r="L247" t="str">
        <f t="shared" si="18"/>
        <v>2020/01/17</v>
      </c>
      <c r="M247" t="e">
        <f t="shared" si="19"/>
        <v>#VALUE!</v>
      </c>
      <c r="N247" t="s">
        <v>28</v>
      </c>
    </row>
    <row r="248" spans="1:14" x14ac:dyDescent="0.2">
      <c r="C248" t="s">
        <v>6</v>
      </c>
      <c r="D248">
        <v>552907</v>
      </c>
      <c r="E248">
        <v>862</v>
      </c>
      <c r="F248">
        <f>M248-L248</f>
        <v>29</v>
      </c>
      <c r="I248" t="s">
        <v>170</v>
      </c>
      <c r="J248" t="s">
        <v>171</v>
      </c>
      <c r="L248" t="str">
        <f t="shared" si="18"/>
        <v>2020/02/01</v>
      </c>
      <c r="M248" t="str">
        <f t="shared" si="19"/>
        <v>2020/03/01</v>
      </c>
      <c r="N248" t="s">
        <v>9</v>
      </c>
    </row>
    <row r="249" spans="1:14" x14ac:dyDescent="0.2">
      <c r="C249" t="s">
        <v>6</v>
      </c>
      <c r="D249">
        <v>1976054</v>
      </c>
      <c r="E249">
        <v>19251</v>
      </c>
      <c r="F249">
        <f>M249-L249</f>
        <v>8</v>
      </c>
      <c r="I249" t="s">
        <v>62</v>
      </c>
      <c r="J249" t="s">
        <v>63</v>
      </c>
      <c r="L249" t="str">
        <f t="shared" si="18"/>
        <v>2020/02/08</v>
      </c>
      <c r="M249" t="str">
        <f t="shared" si="19"/>
        <v>2020/02/16</v>
      </c>
      <c r="N249" t="s">
        <v>9</v>
      </c>
    </row>
    <row r="250" spans="1:14" x14ac:dyDescent="0.2">
      <c r="C250" t="s">
        <v>6</v>
      </c>
      <c r="D250">
        <v>4865</v>
      </c>
      <c r="E250">
        <v>51</v>
      </c>
      <c r="F250">
        <f>M250-L250</f>
        <v>27</v>
      </c>
      <c r="I250" t="s">
        <v>90</v>
      </c>
      <c r="J250" t="s">
        <v>91</v>
      </c>
      <c r="L250" t="str">
        <f t="shared" si="18"/>
        <v>2020/02/06</v>
      </c>
      <c r="M250" t="str">
        <f t="shared" si="19"/>
        <v>2020/03/04</v>
      </c>
      <c r="N250" t="s">
        <v>9</v>
      </c>
    </row>
    <row r="251" spans="1:14" hidden="1" x14ac:dyDescent="0.2">
      <c r="A251" s="1"/>
      <c r="C251" t="s">
        <v>6</v>
      </c>
      <c r="D251">
        <v>822</v>
      </c>
      <c r="E251">
        <v>0</v>
      </c>
      <c r="I251" t="s">
        <v>44</v>
      </c>
      <c r="L251" t="str">
        <f t="shared" si="18"/>
        <v>2020/02/20</v>
      </c>
      <c r="M251" t="e">
        <f t="shared" si="19"/>
        <v>#VALUE!</v>
      </c>
      <c r="N251" t="s">
        <v>9</v>
      </c>
    </row>
    <row r="252" spans="1:14" hidden="1" x14ac:dyDescent="0.2">
      <c r="C252" t="s">
        <v>127</v>
      </c>
      <c r="D252">
        <v>3024</v>
      </c>
      <c r="E252">
        <v>33</v>
      </c>
      <c r="F252">
        <f>M252-L252</f>
        <v>5</v>
      </c>
      <c r="I252" t="s">
        <v>128</v>
      </c>
      <c r="J252" t="s">
        <v>129</v>
      </c>
      <c r="L252" t="str">
        <f t="shared" si="18"/>
        <v>2020/02/14</v>
      </c>
      <c r="M252" t="str">
        <f t="shared" si="19"/>
        <v>2020/02/19</v>
      </c>
      <c r="N252" t="s">
        <v>130</v>
      </c>
    </row>
    <row r="253" spans="1:14" hidden="1" x14ac:dyDescent="0.2">
      <c r="C253" t="s">
        <v>10</v>
      </c>
      <c r="D253">
        <v>905</v>
      </c>
      <c r="E253">
        <v>0</v>
      </c>
      <c r="I253" t="s">
        <v>36</v>
      </c>
      <c r="L253" t="str">
        <f t="shared" si="18"/>
        <v>2020/01/17</v>
      </c>
      <c r="M253" t="e">
        <f t="shared" si="19"/>
        <v>#VALUE!</v>
      </c>
      <c r="N253" t="s">
        <v>28</v>
      </c>
    </row>
    <row r="254" spans="1:14" x14ac:dyDescent="0.2">
      <c r="C254" t="s">
        <v>6</v>
      </c>
      <c r="D254">
        <v>6608</v>
      </c>
      <c r="E254">
        <v>65</v>
      </c>
      <c r="F254">
        <f>M254-L254</f>
        <v>27</v>
      </c>
      <c r="I254" t="s">
        <v>90</v>
      </c>
      <c r="J254" t="s">
        <v>91</v>
      </c>
      <c r="L254" t="str">
        <f t="shared" si="18"/>
        <v>2020/02/06</v>
      </c>
      <c r="M254" t="str">
        <f t="shared" si="19"/>
        <v>2020/03/04</v>
      </c>
      <c r="N254" t="s">
        <v>9</v>
      </c>
    </row>
    <row r="255" spans="1:14" hidden="1" x14ac:dyDescent="0.2">
      <c r="C255" t="s">
        <v>10</v>
      </c>
      <c r="D255">
        <v>4554</v>
      </c>
      <c r="E255">
        <v>2</v>
      </c>
      <c r="I255" t="s">
        <v>27</v>
      </c>
      <c r="L255" t="str">
        <f t="shared" si="18"/>
        <v>2020/01/17</v>
      </c>
      <c r="M255" t="e">
        <f t="shared" si="19"/>
        <v>#VALUE!</v>
      </c>
      <c r="N255" t="s">
        <v>28</v>
      </c>
    </row>
    <row r="256" spans="1:14" x14ac:dyDescent="0.2">
      <c r="C256" t="s">
        <v>6</v>
      </c>
      <c r="D256">
        <v>132303</v>
      </c>
      <c r="E256">
        <v>518</v>
      </c>
      <c r="F256">
        <f>M256-L256</f>
        <v>161</v>
      </c>
      <c r="I256" t="s">
        <v>211</v>
      </c>
      <c r="J256" t="s">
        <v>212</v>
      </c>
      <c r="L256" t="str">
        <f t="shared" si="18"/>
        <v>2019/09/12</v>
      </c>
      <c r="M256" t="str">
        <f t="shared" si="19"/>
        <v>2020/02/20</v>
      </c>
      <c r="N256" t="s">
        <v>9</v>
      </c>
    </row>
    <row r="257" spans="1:14" hidden="1" x14ac:dyDescent="0.2">
      <c r="C257" t="s">
        <v>10</v>
      </c>
      <c r="D257">
        <v>1549</v>
      </c>
      <c r="E257">
        <v>0</v>
      </c>
      <c r="I257" t="s">
        <v>27</v>
      </c>
      <c r="L257" t="str">
        <f t="shared" si="18"/>
        <v>2020/01/17</v>
      </c>
      <c r="M257" t="e">
        <f t="shared" si="19"/>
        <v>#VALUE!</v>
      </c>
      <c r="N257" t="s">
        <v>28</v>
      </c>
    </row>
    <row r="258" spans="1:14" hidden="1" x14ac:dyDescent="0.2">
      <c r="C258" t="s">
        <v>6</v>
      </c>
      <c r="D258">
        <v>6004100</v>
      </c>
      <c r="E258">
        <v>4839</v>
      </c>
      <c r="I258" t="s">
        <v>213</v>
      </c>
      <c r="L258" t="str">
        <f t="shared" si="18"/>
        <v>2020/01/14</v>
      </c>
      <c r="M258" t="e">
        <f t="shared" si="19"/>
        <v>#VALUE!</v>
      </c>
      <c r="N258" t="s">
        <v>9</v>
      </c>
    </row>
    <row r="259" spans="1:14" hidden="1" x14ac:dyDescent="0.2">
      <c r="C259" t="s">
        <v>10</v>
      </c>
      <c r="D259">
        <v>1692</v>
      </c>
      <c r="E259">
        <v>0</v>
      </c>
      <c r="I259" t="s">
        <v>36</v>
      </c>
      <c r="L259" t="str">
        <f t="shared" ref="L259:L322" si="21">LEFT(I259,FIND(" ",I259)-1)</f>
        <v>2020/01/17</v>
      </c>
      <c r="M259" t="e">
        <f t="shared" ref="M259:M322" si="22">LEFT(J259,FIND(" ",J259)-1)</f>
        <v>#VALUE!</v>
      </c>
      <c r="N259" t="s">
        <v>28</v>
      </c>
    </row>
    <row r="260" spans="1:14" x14ac:dyDescent="0.2">
      <c r="C260" t="s">
        <v>6</v>
      </c>
      <c r="D260">
        <v>2069</v>
      </c>
      <c r="E260">
        <v>7</v>
      </c>
      <c r="F260">
        <f t="shared" ref="F260:F268" si="23">M260-L260</f>
        <v>10</v>
      </c>
      <c r="I260" t="s">
        <v>16</v>
      </c>
      <c r="J260" t="s">
        <v>8</v>
      </c>
      <c r="L260" t="str">
        <f t="shared" si="21"/>
        <v>2020/02/23</v>
      </c>
      <c r="M260" t="str">
        <f t="shared" si="22"/>
        <v>2020/03/04</v>
      </c>
      <c r="N260" t="s">
        <v>9</v>
      </c>
    </row>
    <row r="261" spans="1:14" hidden="1" x14ac:dyDescent="0.2">
      <c r="C261" t="s">
        <v>10</v>
      </c>
      <c r="D261">
        <v>57795</v>
      </c>
      <c r="E261">
        <v>33</v>
      </c>
      <c r="F261">
        <f t="shared" si="23"/>
        <v>1</v>
      </c>
      <c r="I261" t="s">
        <v>214</v>
      </c>
      <c r="J261" t="s">
        <v>215</v>
      </c>
      <c r="L261" t="str">
        <f t="shared" si="21"/>
        <v>2020/01/25</v>
      </c>
      <c r="M261" t="str">
        <f t="shared" si="22"/>
        <v>2020/01/26</v>
      </c>
      <c r="N261" t="s">
        <v>28</v>
      </c>
    </row>
    <row r="262" spans="1:14" x14ac:dyDescent="0.2">
      <c r="C262" t="s">
        <v>6</v>
      </c>
      <c r="D262">
        <v>2351742</v>
      </c>
      <c r="E262">
        <v>2688</v>
      </c>
      <c r="F262">
        <f t="shared" si="23"/>
        <v>63</v>
      </c>
      <c r="I262" t="s">
        <v>132</v>
      </c>
      <c r="J262" t="s">
        <v>15</v>
      </c>
      <c r="L262" t="str">
        <f t="shared" si="21"/>
        <v>2020/01/29</v>
      </c>
      <c r="M262" t="str">
        <f t="shared" si="22"/>
        <v>2020/04/01</v>
      </c>
      <c r="N262" t="s">
        <v>9</v>
      </c>
    </row>
    <row r="263" spans="1:14" x14ac:dyDescent="0.2">
      <c r="C263" t="s">
        <v>6</v>
      </c>
      <c r="D263">
        <v>5097032</v>
      </c>
      <c r="E263">
        <v>10489</v>
      </c>
      <c r="F263">
        <f t="shared" si="23"/>
        <v>8</v>
      </c>
      <c r="I263" t="s">
        <v>62</v>
      </c>
      <c r="J263" t="s">
        <v>63</v>
      </c>
      <c r="L263" t="str">
        <f t="shared" si="21"/>
        <v>2020/02/08</v>
      </c>
      <c r="M263" t="str">
        <f t="shared" si="22"/>
        <v>2020/02/16</v>
      </c>
      <c r="N263" t="s">
        <v>9</v>
      </c>
    </row>
    <row r="264" spans="1:14" x14ac:dyDescent="0.2">
      <c r="C264" t="s">
        <v>6</v>
      </c>
      <c r="D264">
        <v>130516</v>
      </c>
      <c r="E264">
        <v>257</v>
      </c>
      <c r="F264">
        <f t="shared" si="23"/>
        <v>32</v>
      </c>
      <c r="I264" t="s">
        <v>72</v>
      </c>
      <c r="J264" t="s">
        <v>104</v>
      </c>
      <c r="L264" t="str">
        <f t="shared" si="21"/>
        <v>2020/01/03</v>
      </c>
      <c r="M264" t="str">
        <f t="shared" si="22"/>
        <v>2020/02/04</v>
      </c>
      <c r="N264" t="s">
        <v>9</v>
      </c>
    </row>
    <row r="265" spans="1:14" x14ac:dyDescent="0.2">
      <c r="C265" t="s">
        <v>6</v>
      </c>
      <c r="D265">
        <v>53610</v>
      </c>
      <c r="E265">
        <v>105</v>
      </c>
      <c r="F265">
        <f t="shared" si="23"/>
        <v>32</v>
      </c>
      <c r="I265" t="s">
        <v>72</v>
      </c>
      <c r="J265" t="s">
        <v>104</v>
      </c>
      <c r="L265" t="str">
        <f t="shared" si="21"/>
        <v>2020/01/03</v>
      </c>
      <c r="M265" t="str">
        <f t="shared" si="22"/>
        <v>2020/02/04</v>
      </c>
      <c r="N265" t="s">
        <v>9</v>
      </c>
    </row>
    <row r="266" spans="1:14" x14ac:dyDescent="0.2">
      <c r="C266" t="s">
        <v>6</v>
      </c>
      <c r="D266">
        <v>776930</v>
      </c>
      <c r="E266">
        <v>835</v>
      </c>
      <c r="F266">
        <f t="shared" si="23"/>
        <v>63</v>
      </c>
      <c r="I266" t="s">
        <v>18</v>
      </c>
      <c r="J266" t="s">
        <v>15</v>
      </c>
      <c r="L266" t="str">
        <f t="shared" si="21"/>
        <v>2020/01/29</v>
      </c>
      <c r="M266" t="str">
        <f t="shared" si="22"/>
        <v>2020/04/01</v>
      </c>
      <c r="N266" t="s">
        <v>9</v>
      </c>
    </row>
    <row r="267" spans="1:14" x14ac:dyDescent="0.2">
      <c r="A267" s="1"/>
      <c r="C267" t="s">
        <v>6</v>
      </c>
      <c r="D267">
        <v>11</v>
      </c>
      <c r="E267">
        <v>0</v>
      </c>
      <c r="F267">
        <f t="shared" si="23"/>
        <v>0</v>
      </c>
      <c r="I267" t="s">
        <v>216</v>
      </c>
      <c r="J267" t="s">
        <v>217</v>
      </c>
      <c r="L267" t="str">
        <f t="shared" si="21"/>
        <v>2020/02/01</v>
      </c>
      <c r="M267" t="str">
        <f t="shared" si="22"/>
        <v>2020/02/01</v>
      </c>
      <c r="N267" t="s">
        <v>9</v>
      </c>
    </row>
    <row r="268" spans="1:14" hidden="1" x14ac:dyDescent="0.2">
      <c r="A268" s="1"/>
      <c r="C268" t="s">
        <v>10</v>
      </c>
      <c r="D268">
        <v>25765</v>
      </c>
      <c r="E268">
        <v>13</v>
      </c>
      <c r="F268">
        <f t="shared" si="23"/>
        <v>1</v>
      </c>
      <c r="I268" t="s">
        <v>192</v>
      </c>
      <c r="J268" t="s">
        <v>193</v>
      </c>
      <c r="L268" t="str">
        <f t="shared" si="21"/>
        <v>2020/01/11</v>
      </c>
      <c r="M268" t="str">
        <f t="shared" si="22"/>
        <v>2020/01/12</v>
      </c>
      <c r="N268" t="s">
        <v>28</v>
      </c>
    </row>
    <row r="269" spans="1:14" hidden="1" x14ac:dyDescent="0.2">
      <c r="C269" t="s">
        <v>6</v>
      </c>
      <c r="D269">
        <v>104673</v>
      </c>
      <c r="E269">
        <v>555</v>
      </c>
      <c r="I269" t="s">
        <v>218</v>
      </c>
      <c r="L269" t="str">
        <f t="shared" si="21"/>
        <v>2020/02/18</v>
      </c>
      <c r="M269" t="e">
        <f t="shared" si="22"/>
        <v>#VALUE!</v>
      </c>
      <c r="N269" t="s">
        <v>9</v>
      </c>
    </row>
    <row r="270" spans="1:14" hidden="1" x14ac:dyDescent="0.2">
      <c r="C270" t="s">
        <v>6</v>
      </c>
      <c r="D270">
        <v>969912</v>
      </c>
      <c r="E270">
        <v>711</v>
      </c>
      <c r="I270" t="s">
        <v>219</v>
      </c>
      <c r="L270" t="str">
        <f t="shared" si="21"/>
        <v>2020/02/19</v>
      </c>
      <c r="M270" t="e">
        <f t="shared" si="22"/>
        <v>#VALUE!</v>
      </c>
      <c r="N270" t="s">
        <v>9</v>
      </c>
    </row>
    <row r="271" spans="1:14" x14ac:dyDescent="0.2">
      <c r="C271" t="s">
        <v>6</v>
      </c>
      <c r="D271">
        <v>227452</v>
      </c>
      <c r="E271">
        <v>493</v>
      </c>
      <c r="F271">
        <f>M271-L271</f>
        <v>12</v>
      </c>
      <c r="I271" t="s">
        <v>19</v>
      </c>
      <c r="J271" t="s">
        <v>26</v>
      </c>
      <c r="L271" t="str">
        <f t="shared" si="21"/>
        <v>2020/01/23</v>
      </c>
      <c r="M271" t="str">
        <f t="shared" si="22"/>
        <v>2020/02/04</v>
      </c>
      <c r="N271" t="s">
        <v>9</v>
      </c>
    </row>
    <row r="272" spans="1:14" hidden="1" x14ac:dyDescent="0.2">
      <c r="C272" t="s">
        <v>56</v>
      </c>
      <c r="D272">
        <v>20253</v>
      </c>
      <c r="E272">
        <v>22</v>
      </c>
      <c r="F272">
        <f>M272-L272</f>
        <v>41</v>
      </c>
      <c r="I272" t="s">
        <v>57</v>
      </c>
      <c r="J272" t="s">
        <v>58</v>
      </c>
      <c r="L272" t="str">
        <f t="shared" si="21"/>
        <v>2020/01/21</v>
      </c>
      <c r="M272" t="str">
        <f t="shared" si="22"/>
        <v>2020/03/02</v>
      </c>
      <c r="N272" t="s">
        <v>59</v>
      </c>
    </row>
    <row r="273" spans="3:14" hidden="1" x14ac:dyDescent="0.2">
      <c r="C273" t="s">
        <v>10</v>
      </c>
      <c r="D273">
        <v>868</v>
      </c>
      <c r="E273">
        <v>0</v>
      </c>
      <c r="I273" t="s">
        <v>36</v>
      </c>
      <c r="L273" t="str">
        <f t="shared" si="21"/>
        <v>2020/01/17</v>
      </c>
      <c r="M273" t="e">
        <f t="shared" si="22"/>
        <v>#VALUE!</v>
      </c>
      <c r="N273" t="s">
        <v>28</v>
      </c>
    </row>
    <row r="274" spans="3:14" x14ac:dyDescent="0.2">
      <c r="C274" t="s">
        <v>6</v>
      </c>
      <c r="D274">
        <v>46339</v>
      </c>
      <c r="E274">
        <v>78</v>
      </c>
      <c r="F274">
        <f>M274-L274</f>
        <v>226</v>
      </c>
      <c r="I274" t="s">
        <v>21</v>
      </c>
      <c r="J274" t="s">
        <v>22</v>
      </c>
      <c r="L274" t="str">
        <f t="shared" si="21"/>
        <v>2019/10/18</v>
      </c>
      <c r="M274" t="str">
        <f t="shared" si="22"/>
        <v>2020/05/31</v>
      </c>
      <c r="N274" t="s">
        <v>9</v>
      </c>
    </row>
    <row r="275" spans="3:14" hidden="1" x14ac:dyDescent="0.2">
      <c r="C275" t="s">
        <v>39</v>
      </c>
      <c r="D275">
        <v>10138</v>
      </c>
      <c r="E275">
        <v>22</v>
      </c>
      <c r="F275">
        <f>M275-L275</f>
        <v>343</v>
      </c>
      <c r="I275" t="s">
        <v>83</v>
      </c>
      <c r="J275" t="s">
        <v>84</v>
      </c>
      <c r="L275" t="str">
        <f t="shared" si="21"/>
        <v>2020/01/24</v>
      </c>
      <c r="M275" t="str">
        <f t="shared" si="22"/>
        <v>2021/01/01</v>
      </c>
      <c r="N275" t="s">
        <v>41</v>
      </c>
    </row>
    <row r="276" spans="3:14" hidden="1" x14ac:dyDescent="0.2">
      <c r="C276" t="s">
        <v>10</v>
      </c>
      <c r="D276">
        <v>750</v>
      </c>
      <c r="E276">
        <v>0</v>
      </c>
      <c r="I276" t="s">
        <v>36</v>
      </c>
      <c r="L276" t="str">
        <f t="shared" si="21"/>
        <v>2020/01/17</v>
      </c>
      <c r="M276" t="e">
        <f t="shared" si="22"/>
        <v>#VALUE!</v>
      </c>
      <c r="N276" t="s">
        <v>28</v>
      </c>
    </row>
    <row r="277" spans="3:14" x14ac:dyDescent="0.2">
      <c r="C277" t="s">
        <v>6</v>
      </c>
      <c r="D277">
        <v>6628695</v>
      </c>
      <c r="E277">
        <v>14199</v>
      </c>
      <c r="F277">
        <f>M277-L277</f>
        <v>8</v>
      </c>
      <c r="I277" t="s">
        <v>62</v>
      </c>
      <c r="J277" t="s">
        <v>63</v>
      </c>
      <c r="L277" t="str">
        <f t="shared" si="21"/>
        <v>2020/02/08</v>
      </c>
      <c r="M277" t="str">
        <f t="shared" si="22"/>
        <v>2020/02/16</v>
      </c>
      <c r="N277" t="s">
        <v>9</v>
      </c>
    </row>
    <row r="278" spans="3:14" x14ac:dyDescent="0.2">
      <c r="C278" t="s">
        <v>6</v>
      </c>
      <c r="D278">
        <v>3394400</v>
      </c>
      <c r="E278">
        <v>8148</v>
      </c>
      <c r="F278">
        <f>M278-L278</f>
        <v>84</v>
      </c>
      <c r="I278" t="s">
        <v>14</v>
      </c>
      <c r="J278" t="s">
        <v>15</v>
      </c>
      <c r="L278" t="str">
        <f t="shared" si="21"/>
        <v>2020/01/08</v>
      </c>
      <c r="M278" t="str">
        <f t="shared" si="22"/>
        <v>2020/04/01</v>
      </c>
      <c r="N278" t="s">
        <v>9</v>
      </c>
    </row>
    <row r="279" spans="3:14" hidden="1" x14ac:dyDescent="0.2">
      <c r="C279" t="s">
        <v>10</v>
      </c>
      <c r="D279">
        <v>654868</v>
      </c>
      <c r="E279">
        <v>512</v>
      </c>
      <c r="F279">
        <f>M279-L279</f>
        <v>5</v>
      </c>
      <c r="I279" t="s">
        <v>220</v>
      </c>
      <c r="J279" t="s">
        <v>221</v>
      </c>
      <c r="L279" t="str">
        <f t="shared" si="21"/>
        <v>2020/01/06</v>
      </c>
      <c r="M279" t="str">
        <f t="shared" si="22"/>
        <v>2020/01/11</v>
      </c>
      <c r="N279" t="s">
        <v>13</v>
      </c>
    </row>
    <row r="280" spans="3:14" hidden="1" x14ac:dyDescent="0.2">
      <c r="C280" t="s">
        <v>39</v>
      </c>
      <c r="D280">
        <v>679484</v>
      </c>
      <c r="E280">
        <v>1818</v>
      </c>
      <c r="F280">
        <f>M280-L280</f>
        <v>343</v>
      </c>
      <c r="I280" t="s">
        <v>83</v>
      </c>
      <c r="J280" t="s">
        <v>84</v>
      </c>
      <c r="L280" t="str">
        <f t="shared" si="21"/>
        <v>2020/01/24</v>
      </c>
      <c r="M280" t="str">
        <f t="shared" si="22"/>
        <v>2021/01/01</v>
      </c>
      <c r="N280" t="s">
        <v>41</v>
      </c>
    </row>
    <row r="281" spans="3:14" x14ac:dyDescent="0.2">
      <c r="C281" t="s">
        <v>6</v>
      </c>
      <c r="D281">
        <v>54290</v>
      </c>
      <c r="E281">
        <v>108</v>
      </c>
      <c r="F281">
        <f>M281-L281</f>
        <v>26</v>
      </c>
      <c r="I281" t="s">
        <v>60</v>
      </c>
      <c r="J281" t="s">
        <v>61</v>
      </c>
      <c r="L281" t="str">
        <f t="shared" si="21"/>
        <v>2020/02/04</v>
      </c>
      <c r="M281" t="str">
        <f t="shared" si="22"/>
        <v>2020/03/01</v>
      </c>
      <c r="N281" t="s">
        <v>9</v>
      </c>
    </row>
    <row r="282" spans="3:14" hidden="1" x14ac:dyDescent="0.2">
      <c r="C282" t="s">
        <v>10</v>
      </c>
      <c r="D282">
        <v>7665</v>
      </c>
      <c r="E282">
        <v>4</v>
      </c>
      <c r="I282" t="s">
        <v>27</v>
      </c>
      <c r="L282" t="str">
        <f t="shared" si="21"/>
        <v>2020/01/17</v>
      </c>
      <c r="M282" t="e">
        <f t="shared" si="22"/>
        <v>#VALUE!</v>
      </c>
      <c r="N282" t="s">
        <v>28</v>
      </c>
    </row>
    <row r="283" spans="3:14" hidden="1" x14ac:dyDescent="0.2">
      <c r="C283" t="s">
        <v>10</v>
      </c>
      <c r="D283">
        <v>1502</v>
      </c>
      <c r="E283">
        <v>0</v>
      </c>
      <c r="I283" t="s">
        <v>36</v>
      </c>
      <c r="L283" t="str">
        <f t="shared" si="21"/>
        <v>2020/01/17</v>
      </c>
      <c r="M283" t="e">
        <f t="shared" si="22"/>
        <v>#VALUE!</v>
      </c>
      <c r="N283" t="s">
        <v>28</v>
      </c>
    </row>
    <row r="284" spans="3:14" x14ac:dyDescent="0.2">
      <c r="C284" t="s">
        <v>6</v>
      </c>
      <c r="D284">
        <v>209772</v>
      </c>
      <c r="E284">
        <v>506</v>
      </c>
      <c r="F284">
        <f>M284-L284</f>
        <v>40</v>
      </c>
      <c r="I284" t="s">
        <v>72</v>
      </c>
      <c r="J284" t="s">
        <v>73</v>
      </c>
      <c r="L284" t="str">
        <f t="shared" si="21"/>
        <v>2020/01/03</v>
      </c>
      <c r="M284" t="str">
        <f t="shared" si="22"/>
        <v>2020/02/12</v>
      </c>
      <c r="N284" t="s">
        <v>9</v>
      </c>
    </row>
    <row r="285" spans="3:14" hidden="1" x14ac:dyDescent="0.2">
      <c r="C285" t="s">
        <v>10</v>
      </c>
      <c r="D285">
        <v>4570</v>
      </c>
      <c r="E285">
        <v>2</v>
      </c>
      <c r="I285" t="s">
        <v>36</v>
      </c>
      <c r="L285" t="str">
        <f t="shared" si="21"/>
        <v>2020/01/17</v>
      </c>
      <c r="M285" t="e">
        <f t="shared" si="22"/>
        <v>#VALUE!</v>
      </c>
      <c r="N285" t="s">
        <v>28</v>
      </c>
    </row>
    <row r="286" spans="3:14" hidden="1" x14ac:dyDescent="0.2">
      <c r="C286" t="s">
        <v>56</v>
      </c>
      <c r="D286">
        <v>71447</v>
      </c>
      <c r="E286">
        <v>83</v>
      </c>
      <c r="F286">
        <f t="shared" ref="F286:F297" si="24">M286-L286</f>
        <v>41</v>
      </c>
      <c r="I286" t="s">
        <v>57</v>
      </c>
      <c r="J286" t="s">
        <v>58</v>
      </c>
      <c r="L286" t="str">
        <f t="shared" si="21"/>
        <v>2020/01/21</v>
      </c>
      <c r="M286" t="str">
        <f t="shared" si="22"/>
        <v>2020/03/02</v>
      </c>
      <c r="N286" t="s">
        <v>59</v>
      </c>
    </row>
    <row r="287" spans="3:14" x14ac:dyDescent="0.2">
      <c r="C287" t="s">
        <v>6</v>
      </c>
      <c r="D287">
        <v>5115931</v>
      </c>
      <c r="E287">
        <v>10528</v>
      </c>
      <c r="F287">
        <f t="shared" si="24"/>
        <v>8</v>
      </c>
      <c r="I287" t="s">
        <v>62</v>
      </c>
      <c r="J287" t="s">
        <v>63</v>
      </c>
      <c r="L287" t="str">
        <f t="shared" si="21"/>
        <v>2020/02/08</v>
      </c>
      <c r="M287" t="str">
        <f t="shared" si="22"/>
        <v>2020/02/16</v>
      </c>
      <c r="N287" t="s">
        <v>9</v>
      </c>
    </row>
    <row r="288" spans="3:14" hidden="1" x14ac:dyDescent="0.2">
      <c r="C288" t="s">
        <v>10</v>
      </c>
      <c r="D288">
        <v>39194</v>
      </c>
      <c r="E288">
        <v>20</v>
      </c>
      <c r="F288">
        <f t="shared" si="24"/>
        <v>1</v>
      </c>
      <c r="I288" t="s">
        <v>222</v>
      </c>
      <c r="J288" t="s">
        <v>223</v>
      </c>
      <c r="L288" t="str">
        <f t="shared" si="21"/>
        <v>2020/01/21</v>
      </c>
      <c r="M288" t="str">
        <f t="shared" si="22"/>
        <v>2020/01/22</v>
      </c>
      <c r="N288" t="s">
        <v>28</v>
      </c>
    </row>
    <row r="289" spans="3:14" hidden="1" x14ac:dyDescent="0.2">
      <c r="C289" t="s">
        <v>10</v>
      </c>
      <c r="D289">
        <v>385921</v>
      </c>
      <c r="E289">
        <v>1189</v>
      </c>
      <c r="F289">
        <f t="shared" si="24"/>
        <v>17</v>
      </c>
      <c r="I289" t="s">
        <v>95</v>
      </c>
      <c r="J289" t="s">
        <v>96</v>
      </c>
      <c r="L289" t="str">
        <f t="shared" si="21"/>
        <v>2020/01/08</v>
      </c>
      <c r="M289" t="str">
        <f t="shared" si="22"/>
        <v>2020/01/25</v>
      </c>
      <c r="N289" t="s">
        <v>87</v>
      </c>
    </row>
    <row r="290" spans="3:14" x14ac:dyDescent="0.2">
      <c r="C290" t="s">
        <v>6</v>
      </c>
      <c r="D290">
        <v>39576</v>
      </c>
      <c r="E290">
        <v>152</v>
      </c>
      <c r="F290">
        <f t="shared" si="24"/>
        <v>125</v>
      </c>
      <c r="I290" t="s">
        <v>211</v>
      </c>
      <c r="J290" t="s">
        <v>224</v>
      </c>
      <c r="L290" t="str">
        <f t="shared" si="21"/>
        <v>2019/09/12</v>
      </c>
      <c r="M290" t="str">
        <f t="shared" si="22"/>
        <v>2020/01/15</v>
      </c>
      <c r="N290" t="s">
        <v>9</v>
      </c>
    </row>
    <row r="291" spans="3:14" x14ac:dyDescent="0.2">
      <c r="C291" t="s">
        <v>6</v>
      </c>
      <c r="D291">
        <v>75880</v>
      </c>
      <c r="E291">
        <v>122</v>
      </c>
      <c r="F291">
        <f t="shared" si="24"/>
        <v>7</v>
      </c>
      <c r="I291" t="s">
        <v>125</v>
      </c>
      <c r="J291" t="s">
        <v>126</v>
      </c>
      <c r="L291" t="str">
        <f t="shared" si="21"/>
        <v>2020/01/23</v>
      </c>
      <c r="M291" t="str">
        <f t="shared" si="22"/>
        <v>2020/01/30</v>
      </c>
      <c r="N291" t="s">
        <v>9</v>
      </c>
    </row>
    <row r="292" spans="3:14" x14ac:dyDescent="0.2">
      <c r="C292" t="s">
        <v>6</v>
      </c>
      <c r="D292">
        <v>3465</v>
      </c>
      <c r="E292">
        <v>13</v>
      </c>
      <c r="F292">
        <f t="shared" si="24"/>
        <v>10</v>
      </c>
      <c r="I292" t="s">
        <v>140</v>
      </c>
      <c r="J292" t="s">
        <v>24</v>
      </c>
      <c r="L292" t="str">
        <f t="shared" si="21"/>
        <v>2020/02/23</v>
      </c>
      <c r="M292" t="str">
        <f t="shared" si="22"/>
        <v>2020/03/04</v>
      </c>
      <c r="N292" t="s">
        <v>9</v>
      </c>
    </row>
    <row r="293" spans="3:14" x14ac:dyDescent="0.2">
      <c r="C293" t="s">
        <v>6</v>
      </c>
      <c r="D293">
        <v>43702</v>
      </c>
      <c r="E293">
        <v>78</v>
      </c>
      <c r="F293">
        <f t="shared" si="24"/>
        <v>12</v>
      </c>
      <c r="I293" t="s">
        <v>19</v>
      </c>
      <c r="J293" t="s">
        <v>20</v>
      </c>
      <c r="L293" t="str">
        <f t="shared" si="21"/>
        <v>2020/01/23</v>
      </c>
      <c r="M293" t="str">
        <f t="shared" si="22"/>
        <v>2020/02/04</v>
      </c>
      <c r="N293" t="s">
        <v>9</v>
      </c>
    </row>
    <row r="294" spans="3:14" x14ac:dyDescent="0.2">
      <c r="C294" t="s">
        <v>6</v>
      </c>
      <c r="D294">
        <v>1174983</v>
      </c>
      <c r="E294">
        <v>11405</v>
      </c>
      <c r="F294">
        <f t="shared" si="24"/>
        <v>84</v>
      </c>
      <c r="I294" t="s">
        <v>66</v>
      </c>
      <c r="J294" t="s">
        <v>15</v>
      </c>
      <c r="L294" t="str">
        <f t="shared" si="21"/>
        <v>2020/01/08</v>
      </c>
      <c r="M294" t="str">
        <f t="shared" si="22"/>
        <v>2020/04/01</v>
      </c>
      <c r="N294" t="s">
        <v>9</v>
      </c>
    </row>
    <row r="295" spans="3:14" x14ac:dyDescent="0.2">
      <c r="C295" t="s">
        <v>6</v>
      </c>
      <c r="D295">
        <v>143518</v>
      </c>
      <c r="E295">
        <v>287</v>
      </c>
      <c r="F295">
        <f t="shared" si="24"/>
        <v>26</v>
      </c>
      <c r="I295" t="s">
        <v>60</v>
      </c>
      <c r="J295" t="s">
        <v>61</v>
      </c>
      <c r="L295" t="str">
        <f t="shared" si="21"/>
        <v>2020/02/04</v>
      </c>
      <c r="M295" t="str">
        <f t="shared" si="22"/>
        <v>2020/03/01</v>
      </c>
      <c r="N295" t="s">
        <v>9</v>
      </c>
    </row>
    <row r="296" spans="3:14" x14ac:dyDescent="0.2">
      <c r="C296" t="s">
        <v>6</v>
      </c>
      <c r="D296">
        <v>1577071</v>
      </c>
      <c r="E296">
        <v>1859</v>
      </c>
      <c r="F296">
        <f t="shared" si="24"/>
        <v>63</v>
      </c>
      <c r="I296" t="s">
        <v>18</v>
      </c>
      <c r="J296" t="s">
        <v>15</v>
      </c>
      <c r="L296" t="str">
        <f t="shared" si="21"/>
        <v>2020/01/29</v>
      </c>
      <c r="M296" t="str">
        <f t="shared" si="22"/>
        <v>2020/04/01</v>
      </c>
      <c r="N296" t="s">
        <v>9</v>
      </c>
    </row>
    <row r="297" spans="3:14" x14ac:dyDescent="0.2">
      <c r="C297" t="s">
        <v>6</v>
      </c>
      <c r="D297">
        <v>69601</v>
      </c>
      <c r="E297">
        <v>146</v>
      </c>
      <c r="F297">
        <f t="shared" si="24"/>
        <v>226</v>
      </c>
      <c r="I297" t="s">
        <v>21</v>
      </c>
      <c r="J297" t="s">
        <v>22</v>
      </c>
      <c r="L297" t="str">
        <f t="shared" si="21"/>
        <v>2019/10/18</v>
      </c>
      <c r="M297" t="str">
        <f t="shared" si="22"/>
        <v>2020/05/31</v>
      </c>
      <c r="N297" t="s">
        <v>9</v>
      </c>
    </row>
    <row r="298" spans="3:14" hidden="1" x14ac:dyDescent="0.2">
      <c r="C298" t="s">
        <v>6</v>
      </c>
      <c r="D298">
        <v>2408</v>
      </c>
      <c r="E298">
        <v>4</v>
      </c>
      <c r="I298" t="s">
        <v>188</v>
      </c>
      <c r="L298" t="str">
        <f t="shared" si="21"/>
        <v>2020/01/20</v>
      </c>
      <c r="M298" t="e">
        <f t="shared" si="22"/>
        <v>#VALUE!</v>
      </c>
      <c r="N298" t="s">
        <v>9</v>
      </c>
    </row>
    <row r="299" spans="3:14" hidden="1" x14ac:dyDescent="0.2">
      <c r="C299" t="s">
        <v>6</v>
      </c>
      <c r="D299">
        <v>30460</v>
      </c>
      <c r="E299">
        <v>55</v>
      </c>
      <c r="I299" t="s">
        <v>124</v>
      </c>
      <c r="L299" t="str">
        <f t="shared" si="21"/>
        <v>2020/02/17</v>
      </c>
      <c r="M299" t="e">
        <f t="shared" si="22"/>
        <v>#VALUE!</v>
      </c>
      <c r="N299" t="s">
        <v>9</v>
      </c>
    </row>
    <row r="300" spans="3:14" x14ac:dyDescent="0.2">
      <c r="C300" t="s">
        <v>6</v>
      </c>
      <c r="D300">
        <v>15927</v>
      </c>
      <c r="E300">
        <v>155</v>
      </c>
      <c r="F300">
        <f t="shared" ref="F300:F307" si="25">M300-L300</f>
        <v>1</v>
      </c>
      <c r="I300" t="s">
        <v>225</v>
      </c>
      <c r="J300" t="s">
        <v>26</v>
      </c>
      <c r="L300" t="str">
        <f t="shared" si="21"/>
        <v>2020/02/03</v>
      </c>
      <c r="M300" t="str">
        <f t="shared" si="22"/>
        <v>2020/02/04</v>
      </c>
      <c r="N300" t="s">
        <v>9</v>
      </c>
    </row>
    <row r="301" spans="3:14" x14ac:dyDescent="0.2">
      <c r="C301" t="s">
        <v>6</v>
      </c>
      <c r="D301">
        <v>646971</v>
      </c>
      <c r="E301">
        <v>6172</v>
      </c>
      <c r="F301">
        <f t="shared" si="25"/>
        <v>63</v>
      </c>
      <c r="I301" t="s">
        <v>18</v>
      </c>
      <c r="J301" t="s">
        <v>15</v>
      </c>
      <c r="L301" t="str">
        <f t="shared" si="21"/>
        <v>2020/01/29</v>
      </c>
      <c r="M301" t="str">
        <f t="shared" si="22"/>
        <v>2020/04/01</v>
      </c>
      <c r="N301" t="s">
        <v>9</v>
      </c>
    </row>
    <row r="302" spans="3:14" hidden="1" x14ac:dyDescent="0.2">
      <c r="C302" t="s">
        <v>127</v>
      </c>
      <c r="D302">
        <v>10567943</v>
      </c>
      <c r="E302">
        <v>25197</v>
      </c>
      <c r="F302">
        <f t="shared" si="25"/>
        <v>14</v>
      </c>
      <c r="I302" t="s">
        <v>226</v>
      </c>
      <c r="J302" t="s">
        <v>227</v>
      </c>
      <c r="L302" t="str">
        <f t="shared" si="21"/>
        <v>2020/01/12</v>
      </c>
      <c r="M302" t="str">
        <f t="shared" si="22"/>
        <v>2020/01/26</v>
      </c>
      <c r="N302" t="s">
        <v>130</v>
      </c>
    </row>
    <row r="303" spans="3:14" hidden="1" x14ac:dyDescent="0.2">
      <c r="C303" t="s">
        <v>10</v>
      </c>
      <c r="D303">
        <v>19887</v>
      </c>
      <c r="E303">
        <v>12</v>
      </c>
      <c r="F303">
        <f t="shared" si="25"/>
        <v>1</v>
      </c>
      <c r="I303" t="s">
        <v>228</v>
      </c>
      <c r="J303" t="s">
        <v>229</v>
      </c>
      <c r="L303" t="str">
        <f t="shared" si="21"/>
        <v>2020/01/30</v>
      </c>
      <c r="M303" t="str">
        <f t="shared" si="22"/>
        <v>2020/01/31</v>
      </c>
      <c r="N303" t="s">
        <v>28</v>
      </c>
    </row>
    <row r="304" spans="3:14" x14ac:dyDescent="0.2">
      <c r="C304" t="s">
        <v>6</v>
      </c>
      <c r="D304">
        <v>1154903</v>
      </c>
      <c r="E304">
        <v>11220</v>
      </c>
      <c r="F304">
        <f t="shared" si="25"/>
        <v>84</v>
      </c>
      <c r="I304" t="s">
        <v>66</v>
      </c>
      <c r="J304" t="s">
        <v>15</v>
      </c>
      <c r="L304" t="str">
        <f t="shared" si="21"/>
        <v>2020/01/08</v>
      </c>
      <c r="M304" t="str">
        <f t="shared" si="22"/>
        <v>2020/04/01</v>
      </c>
      <c r="N304" t="s">
        <v>9</v>
      </c>
    </row>
    <row r="305" spans="3:14" x14ac:dyDescent="0.2">
      <c r="C305" t="s">
        <v>6</v>
      </c>
      <c r="D305">
        <v>320696</v>
      </c>
      <c r="E305">
        <v>500</v>
      </c>
      <c r="F305">
        <f t="shared" si="25"/>
        <v>11</v>
      </c>
      <c r="I305" t="s">
        <v>230</v>
      </c>
      <c r="J305" t="s">
        <v>231</v>
      </c>
      <c r="L305" t="str">
        <f t="shared" si="21"/>
        <v>2020/01/25</v>
      </c>
      <c r="M305" t="str">
        <f t="shared" si="22"/>
        <v>2020/02/05</v>
      </c>
      <c r="N305" t="s">
        <v>9</v>
      </c>
    </row>
    <row r="306" spans="3:14" x14ac:dyDescent="0.2">
      <c r="C306" t="s">
        <v>6</v>
      </c>
      <c r="D306">
        <v>37706</v>
      </c>
      <c r="E306">
        <v>162</v>
      </c>
      <c r="F306">
        <f t="shared" si="25"/>
        <v>12</v>
      </c>
      <c r="I306" t="s">
        <v>232</v>
      </c>
      <c r="J306" t="s">
        <v>233</v>
      </c>
      <c r="L306" t="str">
        <f t="shared" si="21"/>
        <v>2020/01/30</v>
      </c>
      <c r="M306" t="str">
        <f t="shared" si="22"/>
        <v>2020/02/11</v>
      </c>
      <c r="N306" t="s">
        <v>9</v>
      </c>
    </row>
    <row r="307" spans="3:14" x14ac:dyDescent="0.2">
      <c r="C307" t="s">
        <v>6</v>
      </c>
      <c r="D307">
        <v>563175</v>
      </c>
      <c r="E307">
        <v>1307</v>
      </c>
      <c r="F307">
        <f t="shared" si="25"/>
        <v>29</v>
      </c>
      <c r="I307" t="s">
        <v>170</v>
      </c>
      <c r="J307" t="s">
        <v>171</v>
      </c>
      <c r="L307" t="str">
        <f t="shared" si="21"/>
        <v>2020/02/01</v>
      </c>
      <c r="M307" t="str">
        <f t="shared" si="22"/>
        <v>2020/03/01</v>
      </c>
      <c r="N307" t="s">
        <v>9</v>
      </c>
    </row>
    <row r="308" spans="3:14" hidden="1" x14ac:dyDescent="0.2">
      <c r="C308" t="s">
        <v>10</v>
      </c>
      <c r="D308">
        <v>735</v>
      </c>
      <c r="E308">
        <v>0</v>
      </c>
      <c r="I308" t="s">
        <v>36</v>
      </c>
      <c r="L308" t="str">
        <f t="shared" si="21"/>
        <v>2020/01/17</v>
      </c>
      <c r="M308" t="e">
        <f t="shared" si="22"/>
        <v>#VALUE!</v>
      </c>
      <c r="N308" t="s">
        <v>28</v>
      </c>
    </row>
    <row r="309" spans="3:14" x14ac:dyDescent="0.2">
      <c r="C309" t="s">
        <v>6</v>
      </c>
      <c r="D309">
        <v>578774</v>
      </c>
      <c r="E309">
        <v>652</v>
      </c>
      <c r="F309">
        <f>M309-L309</f>
        <v>287</v>
      </c>
      <c r="I309" t="s">
        <v>113</v>
      </c>
      <c r="J309" t="s">
        <v>114</v>
      </c>
      <c r="L309" t="str">
        <f t="shared" si="21"/>
        <v>2019/11/18</v>
      </c>
      <c r="M309" t="str">
        <f t="shared" si="22"/>
        <v>2020/08/31</v>
      </c>
      <c r="N309" t="s">
        <v>9</v>
      </c>
    </row>
    <row r="310" spans="3:14" hidden="1" x14ac:dyDescent="0.2">
      <c r="C310" t="s">
        <v>6</v>
      </c>
      <c r="D310">
        <v>109517</v>
      </c>
      <c r="E310">
        <v>102</v>
      </c>
      <c r="I310" t="s">
        <v>234</v>
      </c>
      <c r="L310" t="str">
        <f t="shared" si="21"/>
        <v>2020/01/14</v>
      </c>
      <c r="M310" t="e">
        <f t="shared" si="22"/>
        <v>#VALUE!</v>
      </c>
      <c r="N310" t="s">
        <v>9</v>
      </c>
    </row>
    <row r="311" spans="3:14" hidden="1" x14ac:dyDescent="0.2">
      <c r="C311" t="s">
        <v>10</v>
      </c>
      <c r="D311">
        <v>528911</v>
      </c>
      <c r="E311">
        <v>950</v>
      </c>
      <c r="F311">
        <f>M311-L311</f>
        <v>11</v>
      </c>
      <c r="I311" t="s">
        <v>33</v>
      </c>
      <c r="J311" t="s">
        <v>34</v>
      </c>
      <c r="L311" t="str">
        <f t="shared" si="21"/>
        <v>2020/02/03</v>
      </c>
      <c r="M311" t="str">
        <f t="shared" si="22"/>
        <v>2020/02/14</v>
      </c>
      <c r="N311" t="s">
        <v>35</v>
      </c>
    </row>
    <row r="312" spans="3:14" x14ac:dyDescent="0.2">
      <c r="C312" t="s">
        <v>6</v>
      </c>
      <c r="D312">
        <v>19726</v>
      </c>
      <c r="E312">
        <v>2</v>
      </c>
      <c r="F312">
        <f>M312-L312</f>
        <v>1</v>
      </c>
      <c r="I312" t="s">
        <v>235</v>
      </c>
      <c r="J312" t="s">
        <v>236</v>
      </c>
      <c r="L312" t="str">
        <f t="shared" si="21"/>
        <v>2020/02/19</v>
      </c>
      <c r="M312" t="str">
        <f t="shared" si="22"/>
        <v>2020/02/20</v>
      </c>
      <c r="N312" t="s">
        <v>9</v>
      </c>
    </row>
    <row r="313" spans="3:14" x14ac:dyDescent="0.2">
      <c r="C313" t="s">
        <v>6</v>
      </c>
      <c r="D313">
        <v>69172</v>
      </c>
      <c r="E313">
        <v>145</v>
      </c>
      <c r="F313">
        <f>M313-L313</f>
        <v>12</v>
      </c>
      <c r="I313" t="s">
        <v>19</v>
      </c>
      <c r="J313" t="s">
        <v>26</v>
      </c>
      <c r="L313" t="str">
        <f t="shared" si="21"/>
        <v>2020/01/23</v>
      </c>
      <c r="M313" t="str">
        <f t="shared" si="22"/>
        <v>2020/02/04</v>
      </c>
      <c r="N313" t="s">
        <v>9</v>
      </c>
    </row>
    <row r="314" spans="3:14" x14ac:dyDescent="0.2">
      <c r="C314" t="s">
        <v>6</v>
      </c>
      <c r="D314">
        <v>114994</v>
      </c>
      <c r="E314">
        <v>164</v>
      </c>
      <c r="F314">
        <f>M314-L314</f>
        <v>35</v>
      </c>
      <c r="I314" t="s">
        <v>64</v>
      </c>
      <c r="J314" t="s">
        <v>65</v>
      </c>
      <c r="L314" t="str">
        <f t="shared" si="21"/>
        <v>2020/01/23</v>
      </c>
      <c r="M314" t="str">
        <f t="shared" si="22"/>
        <v>2020/02/27</v>
      </c>
      <c r="N314" t="s">
        <v>9</v>
      </c>
    </row>
    <row r="315" spans="3:14" x14ac:dyDescent="0.2">
      <c r="C315" t="s">
        <v>6</v>
      </c>
      <c r="D315">
        <v>2538</v>
      </c>
      <c r="E315">
        <v>5</v>
      </c>
      <c r="F315">
        <f>M315-L315</f>
        <v>16</v>
      </c>
      <c r="I315" t="s">
        <v>101</v>
      </c>
      <c r="J315" t="s">
        <v>102</v>
      </c>
      <c r="L315" t="str">
        <f t="shared" si="21"/>
        <v>2020/02/12</v>
      </c>
      <c r="M315" t="str">
        <f t="shared" si="22"/>
        <v>2020/02/28</v>
      </c>
      <c r="N315" t="s">
        <v>9</v>
      </c>
    </row>
    <row r="316" spans="3:14" hidden="1" x14ac:dyDescent="0.2">
      <c r="C316" t="s">
        <v>6</v>
      </c>
      <c r="D316">
        <v>111</v>
      </c>
      <c r="E316">
        <v>0</v>
      </c>
      <c r="I316" t="s">
        <v>237</v>
      </c>
      <c r="L316" t="str">
        <f t="shared" si="21"/>
        <v>2020/01/18</v>
      </c>
      <c r="M316" t="e">
        <f t="shared" si="22"/>
        <v>#VALUE!</v>
      </c>
      <c r="N316" t="s">
        <v>9</v>
      </c>
    </row>
    <row r="317" spans="3:14" x14ac:dyDescent="0.2">
      <c r="C317" t="s">
        <v>6</v>
      </c>
      <c r="D317">
        <v>5901671</v>
      </c>
      <c r="E317">
        <v>12650</v>
      </c>
      <c r="F317">
        <f>M317-L317</f>
        <v>8</v>
      </c>
      <c r="I317" t="s">
        <v>62</v>
      </c>
      <c r="J317" t="s">
        <v>63</v>
      </c>
      <c r="L317" t="str">
        <f t="shared" si="21"/>
        <v>2020/02/08</v>
      </c>
      <c r="M317" t="str">
        <f t="shared" si="22"/>
        <v>2020/02/16</v>
      </c>
      <c r="N317" t="s">
        <v>9</v>
      </c>
    </row>
    <row r="318" spans="3:14" x14ac:dyDescent="0.2">
      <c r="C318" t="s">
        <v>6</v>
      </c>
      <c r="D318">
        <v>121994</v>
      </c>
      <c r="E318">
        <v>284</v>
      </c>
      <c r="F318">
        <f>M318-L318</f>
        <v>2</v>
      </c>
      <c r="I318" t="s">
        <v>238</v>
      </c>
      <c r="J318" t="s">
        <v>183</v>
      </c>
      <c r="L318" t="str">
        <f t="shared" si="21"/>
        <v>2020/02/09</v>
      </c>
      <c r="M318" t="str">
        <f t="shared" si="22"/>
        <v>2020/02/11</v>
      </c>
      <c r="N318" t="s">
        <v>9</v>
      </c>
    </row>
    <row r="319" spans="3:14" hidden="1" x14ac:dyDescent="0.2">
      <c r="C319" t="s">
        <v>10</v>
      </c>
      <c r="D319">
        <v>949</v>
      </c>
      <c r="E319">
        <v>0</v>
      </c>
      <c r="I319" t="s">
        <v>27</v>
      </c>
      <c r="L319" t="str">
        <f t="shared" si="21"/>
        <v>2020/01/17</v>
      </c>
      <c r="M319" t="e">
        <f t="shared" si="22"/>
        <v>#VALUE!</v>
      </c>
      <c r="N319" t="s">
        <v>28</v>
      </c>
    </row>
    <row r="320" spans="3:14" x14ac:dyDescent="0.2">
      <c r="C320" t="s">
        <v>6</v>
      </c>
      <c r="D320">
        <v>92116</v>
      </c>
      <c r="E320">
        <v>211</v>
      </c>
      <c r="F320">
        <f t="shared" ref="F320:F325" si="26">M320-L320</f>
        <v>81</v>
      </c>
      <c r="I320" t="s">
        <v>70</v>
      </c>
      <c r="J320" t="s">
        <v>71</v>
      </c>
      <c r="L320" t="str">
        <f t="shared" si="21"/>
        <v>2019/11/19</v>
      </c>
      <c r="M320" t="str">
        <f t="shared" si="22"/>
        <v>2020/02/08</v>
      </c>
      <c r="N320" t="s">
        <v>9</v>
      </c>
    </row>
    <row r="321" spans="1:14" x14ac:dyDescent="0.2">
      <c r="C321" t="s">
        <v>6</v>
      </c>
      <c r="D321">
        <v>1734889</v>
      </c>
      <c r="E321">
        <v>16716</v>
      </c>
      <c r="F321">
        <f t="shared" si="26"/>
        <v>8</v>
      </c>
      <c r="I321" t="s">
        <v>62</v>
      </c>
      <c r="J321" t="s">
        <v>63</v>
      </c>
      <c r="L321" t="str">
        <f t="shared" si="21"/>
        <v>2020/02/08</v>
      </c>
      <c r="M321" t="str">
        <f t="shared" si="22"/>
        <v>2020/02/16</v>
      </c>
      <c r="N321" t="s">
        <v>9</v>
      </c>
    </row>
    <row r="322" spans="1:14" x14ac:dyDescent="0.2">
      <c r="C322" t="s">
        <v>6</v>
      </c>
      <c r="D322">
        <v>636</v>
      </c>
      <c r="E322">
        <v>2</v>
      </c>
      <c r="F322">
        <f t="shared" si="26"/>
        <v>10</v>
      </c>
      <c r="I322" t="s">
        <v>7</v>
      </c>
      <c r="J322" t="s">
        <v>8</v>
      </c>
      <c r="L322" t="str">
        <f t="shared" si="21"/>
        <v>2020/02/23</v>
      </c>
      <c r="M322" t="str">
        <f t="shared" si="22"/>
        <v>2020/03/04</v>
      </c>
      <c r="N322" t="s">
        <v>9</v>
      </c>
    </row>
    <row r="323" spans="1:14" x14ac:dyDescent="0.2">
      <c r="C323" t="s">
        <v>6</v>
      </c>
      <c r="D323">
        <v>55751</v>
      </c>
      <c r="E323">
        <v>111</v>
      </c>
      <c r="F323">
        <f t="shared" si="26"/>
        <v>26</v>
      </c>
      <c r="I323" t="s">
        <v>60</v>
      </c>
      <c r="J323" t="s">
        <v>61</v>
      </c>
      <c r="L323" t="str">
        <f t="shared" ref="L323:L386" si="27">LEFT(I323,FIND(" ",I323)-1)</f>
        <v>2020/02/04</v>
      </c>
      <c r="M323" t="str">
        <f t="shared" ref="M323:M386" si="28">LEFT(J323,FIND(" ",J323)-1)</f>
        <v>2020/03/01</v>
      </c>
      <c r="N323" t="s">
        <v>9</v>
      </c>
    </row>
    <row r="324" spans="1:14" x14ac:dyDescent="0.2">
      <c r="C324" t="s">
        <v>6</v>
      </c>
      <c r="D324">
        <v>88643</v>
      </c>
      <c r="E324">
        <v>113</v>
      </c>
      <c r="F324">
        <f t="shared" si="26"/>
        <v>26</v>
      </c>
      <c r="I324" t="s">
        <v>81</v>
      </c>
      <c r="J324" t="s">
        <v>82</v>
      </c>
      <c r="L324" t="str">
        <f t="shared" si="27"/>
        <v>2020/01/06</v>
      </c>
      <c r="M324" t="str">
        <f t="shared" si="28"/>
        <v>2020/02/01</v>
      </c>
      <c r="N324" t="s">
        <v>9</v>
      </c>
    </row>
    <row r="325" spans="1:14" x14ac:dyDescent="0.2">
      <c r="C325" t="s">
        <v>6</v>
      </c>
      <c r="D325">
        <v>280</v>
      </c>
      <c r="E325">
        <v>1</v>
      </c>
      <c r="F325">
        <f t="shared" si="26"/>
        <v>10</v>
      </c>
      <c r="I325" t="s">
        <v>7</v>
      </c>
      <c r="J325" t="s">
        <v>8</v>
      </c>
      <c r="L325" t="str">
        <f t="shared" si="27"/>
        <v>2020/02/23</v>
      </c>
      <c r="M325" t="str">
        <f t="shared" si="28"/>
        <v>2020/03/04</v>
      </c>
      <c r="N325" t="s">
        <v>9</v>
      </c>
    </row>
    <row r="326" spans="1:14" hidden="1" x14ac:dyDescent="0.2">
      <c r="C326" t="s">
        <v>39</v>
      </c>
      <c r="D326">
        <v>1562768</v>
      </c>
      <c r="E326">
        <v>3567</v>
      </c>
      <c r="I326" t="s">
        <v>40</v>
      </c>
      <c r="L326" t="str">
        <f t="shared" si="27"/>
        <v>2020/02/01</v>
      </c>
      <c r="M326" t="e">
        <f t="shared" si="28"/>
        <v>#VALUE!</v>
      </c>
      <c r="N326" t="s">
        <v>41</v>
      </c>
    </row>
    <row r="327" spans="1:14" hidden="1" x14ac:dyDescent="0.2">
      <c r="C327" t="s">
        <v>127</v>
      </c>
      <c r="D327">
        <v>10254787</v>
      </c>
      <c r="E327">
        <v>25190</v>
      </c>
      <c r="F327">
        <f>M327-L327</f>
        <v>14</v>
      </c>
      <c r="I327" t="s">
        <v>226</v>
      </c>
      <c r="J327" t="s">
        <v>227</v>
      </c>
      <c r="L327" t="str">
        <f t="shared" si="27"/>
        <v>2020/01/12</v>
      </c>
      <c r="M327" t="str">
        <f t="shared" si="28"/>
        <v>2020/01/26</v>
      </c>
      <c r="N327" t="s">
        <v>130</v>
      </c>
    </row>
    <row r="328" spans="1:14" hidden="1" x14ac:dyDescent="0.2">
      <c r="C328" t="s">
        <v>6</v>
      </c>
      <c r="D328">
        <v>4177</v>
      </c>
      <c r="E328">
        <v>7</v>
      </c>
      <c r="I328" t="s">
        <v>188</v>
      </c>
      <c r="L328" t="str">
        <f t="shared" si="27"/>
        <v>2020/01/20</v>
      </c>
      <c r="M328" t="e">
        <f t="shared" si="28"/>
        <v>#VALUE!</v>
      </c>
      <c r="N328" t="s">
        <v>9</v>
      </c>
    </row>
    <row r="329" spans="1:14" hidden="1" x14ac:dyDescent="0.2">
      <c r="C329" t="s">
        <v>56</v>
      </c>
      <c r="D329">
        <v>31568</v>
      </c>
      <c r="E329">
        <v>43</v>
      </c>
      <c r="F329">
        <f>M329-L329</f>
        <v>8</v>
      </c>
      <c r="I329" t="s">
        <v>97</v>
      </c>
      <c r="J329" t="s">
        <v>239</v>
      </c>
      <c r="L329" t="str">
        <f t="shared" si="27"/>
        <v>2020/01/20</v>
      </c>
      <c r="M329" t="str">
        <f t="shared" si="28"/>
        <v>2020/01/28</v>
      </c>
      <c r="N329" t="s">
        <v>59</v>
      </c>
    </row>
    <row r="330" spans="1:14" x14ac:dyDescent="0.2">
      <c r="C330" t="s">
        <v>6</v>
      </c>
      <c r="D330">
        <v>388109</v>
      </c>
      <c r="E330">
        <v>839</v>
      </c>
      <c r="F330">
        <f>M330-L330</f>
        <v>31</v>
      </c>
      <c r="I330" t="s">
        <v>45</v>
      </c>
      <c r="J330" t="s">
        <v>46</v>
      </c>
      <c r="L330" t="str">
        <f t="shared" si="27"/>
        <v>2020/01/01</v>
      </c>
      <c r="M330" t="str">
        <f t="shared" si="28"/>
        <v>2020/02/01</v>
      </c>
      <c r="N330" t="s">
        <v>9</v>
      </c>
    </row>
    <row r="331" spans="1:14" x14ac:dyDescent="0.2">
      <c r="C331" t="s">
        <v>6</v>
      </c>
      <c r="D331">
        <v>4342495</v>
      </c>
      <c r="E331">
        <v>6362</v>
      </c>
      <c r="F331">
        <f>M331-L331</f>
        <v>26</v>
      </c>
      <c r="I331" t="s">
        <v>81</v>
      </c>
      <c r="J331" t="s">
        <v>82</v>
      </c>
      <c r="L331" t="str">
        <f t="shared" si="27"/>
        <v>2020/01/06</v>
      </c>
      <c r="M331" t="str">
        <f t="shared" si="28"/>
        <v>2020/02/01</v>
      </c>
      <c r="N331" t="s">
        <v>9</v>
      </c>
    </row>
    <row r="332" spans="1:14" x14ac:dyDescent="0.2">
      <c r="C332" t="s">
        <v>6</v>
      </c>
      <c r="D332">
        <v>110023</v>
      </c>
      <c r="E332">
        <v>188</v>
      </c>
      <c r="F332">
        <f>M332-L332</f>
        <v>226</v>
      </c>
      <c r="I332" t="s">
        <v>21</v>
      </c>
      <c r="J332" t="s">
        <v>22</v>
      </c>
      <c r="L332" t="str">
        <f t="shared" si="27"/>
        <v>2019/10/18</v>
      </c>
      <c r="M332" t="str">
        <f t="shared" si="28"/>
        <v>2020/05/31</v>
      </c>
      <c r="N332" t="s">
        <v>9</v>
      </c>
    </row>
    <row r="333" spans="1:14" hidden="1" x14ac:dyDescent="0.2">
      <c r="A333" s="1"/>
      <c r="C333" t="s">
        <v>6</v>
      </c>
      <c r="D333">
        <v>682848</v>
      </c>
      <c r="E333">
        <v>260</v>
      </c>
      <c r="I333" t="s">
        <v>240</v>
      </c>
      <c r="L333" t="str">
        <f t="shared" si="27"/>
        <v>2020/02/18</v>
      </c>
      <c r="M333" t="e">
        <f t="shared" si="28"/>
        <v>#VALUE!</v>
      </c>
      <c r="N333" t="s">
        <v>9</v>
      </c>
    </row>
    <row r="334" spans="1:14" hidden="1" x14ac:dyDescent="0.2">
      <c r="C334" t="s">
        <v>56</v>
      </c>
      <c r="D334">
        <v>282255</v>
      </c>
      <c r="E334">
        <v>1936</v>
      </c>
      <c r="F334">
        <f t="shared" ref="F334:F340" si="29">M334-L334</f>
        <v>13</v>
      </c>
      <c r="I334" t="s">
        <v>241</v>
      </c>
      <c r="J334" t="s">
        <v>89</v>
      </c>
      <c r="L334" t="str">
        <f t="shared" si="27"/>
        <v>2020/01/15</v>
      </c>
      <c r="M334" t="str">
        <f t="shared" si="28"/>
        <v>2020/01/28</v>
      </c>
      <c r="N334" t="s">
        <v>59</v>
      </c>
    </row>
    <row r="335" spans="1:14" x14ac:dyDescent="0.2">
      <c r="C335" t="s">
        <v>6</v>
      </c>
      <c r="D335">
        <v>10444</v>
      </c>
      <c r="E335">
        <v>20</v>
      </c>
      <c r="F335">
        <f t="shared" si="29"/>
        <v>4</v>
      </c>
      <c r="I335" t="s">
        <v>242</v>
      </c>
      <c r="J335" t="s">
        <v>243</v>
      </c>
      <c r="L335" t="str">
        <f t="shared" si="27"/>
        <v>2020/02/15</v>
      </c>
      <c r="M335" t="str">
        <f t="shared" si="28"/>
        <v>2020/02/19</v>
      </c>
      <c r="N335" t="s">
        <v>9</v>
      </c>
    </row>
    <row r="336" spans="1:14" x14ac:dyDescent="0.2">
      <c r="C336" t="s">
        <v>6</v>
      </c>
      <c r="D336">
        <v>153997</v>
      </c>
      <c r="E336">
        <v>219</v>
      </c>
      <c r="F336">
        <f t="shared" si="29"/>
        <v>35</v>
      </c>
      <c r="I336" t="s">
        <v>64</v>
      </c>
      <c r="J336" t="s">
        <v>65</v>
      </c>
      <c r="L336" t="str">
        <f t="shared" si="27"/>
        <v>2020/01/23</v>
      </c>
      <c r="M336" t="str">
        <f t="shared" si="28"/>
        <v>2020/02/27</v>
      </c>
      <c r="N336" t="s">
        <v>9</v>
      </c>
    </row>
    <row r="337" spans="1:14" hidden="1" x14ac:dyDescent="0.2">
      <c r="C337" t="s">
        <v>39</v>
      </c>
      <c r="D337">
        <v>667353</v>
      </c>
      <c r="E337">
        <v>818</v>
      </c>
      <c r="F337">
        <f t="shared" si="29"/>
        <v>28</v>
      </c>
      <c r="I337" t="s">
        <v>244</v>
      </c>
      <c r="J337" t="s">
        <v>245</v>
      </c>
      <c r="L337" t="str">
        <f t="shared" si="27"/>
        <v>2020/02/18</v>
      </c>
      <c r="M337" t="str">
        <f t="shared" si="28"/>
        <v>2020/03/17</v>
      </c>
      <c r="N337" t="s">
        <v>41</v>
      </c>
    </row>
    <row r="338" spans="1:14" x14ac:dyDescent="0.2">
      <c r="C338" t="s">
        <v>6</v>
      </c>
      <c r="D338">
        <v>744960</v>
      </c>
      <c r="E338">
        <v>819</v>
      </c>
      <c r="F338">
        <f t="shared" si="29"/>
        <v>26</v>
      </c>
      <c r="I338" t="s">
        <v>81</v>
      </c>
      <c r="J338" t="s">
        <v>82</v>
      </c>
      <c r="L338" t="str">
        <f t="shared" si="27"/>
        <v>2020/01/06</v>
      </c>
      <c r="M338" t="str">
        <f t="shared" si="28"/>
        <v>2020/02/01</v>
      </c>
      <c r="N338" t="s">
        <v>9</v>
      </c>
    </row>
    <row r="339" spans="1:14" x14ac:dyDescent="0.2">
      <c r="C339" t="s">
        <v>6</v>
      </c>
      <c r="D339">
        <v>85769</v>
      </c>
      <c r="E339">
        <v>196</v>
      </c>
      <c r="F339">
        <f t="shared" si="29"/>
        <v>226</v>
      </c>
      <c r="I339" t="s">
        <v>21</v>
      </c>
      <c r="J339" t="s">
        <v>22</v>
      </c>
      <c r="L339" t="str">
        <f t="shared" si="27"/>
        <v>2019/10/18</v>
      </c>
      <c r="M339" t="str">
        <f t="shared" si="28"/>
        <v>2020/05/31</v>
      </c>
      <c r="N339" t="s">
        <v>9</v>
      </c>
    </row>
    <row r="340" spans="1:14" hidden="1" x14ac:dyDescent="0.2">
      <c r="C340" t="s">
        <v>10</v>
      </c>
      <c r="D340">
        <v>188523</v>
      </c>
      <c r="E340">
        <v>459</v>
      </c>
      <c r="F340">
        <f t="shared" si="29"/>
        <v>4</v>
      </c>
      <c r="I340" t="s">
        <v>246</v>
      </c>
      <c r="J340" t="s">
        <v>247</v>
      </c>
      <c r="L340" t="str">
        <f t="shared" si="27"/>
        <v>2020/01/06</v>
      </c>
      <c r="M340" t="str">
        <f t="shared" si="28"/>
        <v>2020/01/10</v>
      </c>
      <c r="N340" t="s">
        <v>187</v>
      </c>
    </row>
    <row r="341" spans="1:14" hidden="1" x14ac:dyDescent="0.2">
      <c r="C341" t="s">
        <v>6</v>
      </c>
      <c r="D341">
        <v>13587</v>
      </c>
      <c r="E341">
        <v>23</v>
      </c>
      <c r="I341" t="s">
        <v>248</v>
      </c>
      <c r="L341" t="str">
        <f t="shared" si="27"/>
        <v>2020/02/21</v>
      </c>
      <c r="M341" t="e">
        <f t="shared" si="28"/>
        <v>#VALUE!</v>
      </c>
      <c r="N341" t="s">
        <v>9</v>
      </c>
    </row>
    <row r="342" spans="1:14" hidden="1" x14ac:dyDescent="0.2">
      <c r="C342" t="s">
        <v>10</v>
      </c>
      <c r="D342">
        <v>380925</v>
      </c>
      <c r="E342">
        <v>170</v>
      </c>
      <c r="F342">
        <f>M342-L342</f>
        <v>6</v>
      </c>
      <c r="I342" t="s">
        <v>42</v>
      </c>
      <c r="J342" t="s">
        <v>43</v>
      </c>
      <c r="L342" t="str">
        <f t="shared" si="27"/>
        <v>2020/01/23</v>
      </c>
      <c r="M342" t="str">
        <f t="shared" si="28"/>
        <v>2020/01/29</v>
      </c>
      <c r="N342" t="s">
        <v>13</v>
      </c>
    </row>
    <row r="343" spans="1:14" x14ac:dyDescent="0.2">
      <c r="C343" t="s">
        <v>6</v>
      </c>
      <c r="D343">
        <v>1414417</v>
      </c>
      <c r="E343">
        <v>1480</v>
      </c>
      <c r="F343">
        <f>M343-L343</f>
        <v>63</v>
      </c>
      <c r="I343" t="s">
        <v>18</v>
      </c>
      <c r="J343" t="s">
        <v>15</v>
      </c>
      <c r="L343" t="str">
        <f t="shared" si="27"/>
        <v>2020/01/29</v>
      </c>
      <c r="M343" t="str">
        <f t="shared" si="28"/>
        <v>2020/04/01</v>
      </c>
      <c r="N343" t="s">
        <v>9</v>
      </c>
    </row>
    <row r="344" spans="1:14" x14ac:dyDescent="0.2">
      <c r="C344" t="s">
        <v>6</v>
      </c>
      <c r="D344">
        <v>217887</v>
      </c>
      <c r="E344">
        <v>591</v>
      </c>
      <c r="F344">
        <f>M344-L344</f>
        <v>13</v>
      </c>
      <c r="I344" t="s">
        <v>249</v>
      </c>
      <c r="J344" t="s">
        <v>250</v>
      </c>
      <c r="L344" t="str">
        <f t="shared" si="27"/>
        <v>2020/02/20</v>
      </c>
      <c r="M344" t="str">
        <f t="shared" si="28"/>
        <v>2020/03/04</v>
      </c>
      <c r="N344" t="s">
        <v>9</v>
      </c>
    </row>
    <row r="345" spans="1:14" hidden="1" x14ac:dyDescent="0.2">
      <c r="A345" s="1"/>
      <c r="C345" t="s">
        <v>10</v>
      </c>
      <c r="D345">
        <v>1654</v>
      </c>
      <c r="E345">
        <v>0</v>
      </c>
      <c r="I345" t="s">
        <v>36</v>
      </c>
      <c r="L345" t="str">
        <f t="shared" si="27"/>
        <v>2020/01/17</v>
      </c>
      <c r="M345" t="e">
        <f t="shared" si="28"/>
        <v>#VALUE!</v>
      </c>
      <c r="N345" t="s">
        <v>28</v>
      </c>
    </row>
    <row r="346" spans="1:14" x14ac:dyDescent="0.2">
      <c r="C346" t="s">
        <v>6</v>
      </c>
      <c r="D346">
        <v>6087352</v>
      </c>
      <c r="E346">
        <v>62175</v>
      </c>
      <c r="F346">
        <f>M346-L346</f>
        <v>3</v>
      </c>
      <c r="I346" t="s">
        <v>251</v>
      </c>
      <c r="J346" t="s">
        <v>252</v>
      </c>
      <c r="L346" t="str">
        <f t="shared" si="27"/>
        <v>2020/02/02</v>
      </c>
      <c r="M346" t="str">
        <f t="shared" si="28"/>
        <v>2020/02/05</v>
      </c>
      <c r="N346" t="s">
        <v>9</v>
      </c>
    </row>
    <row r="347" spans="1:14" x14ac:dyDescent="0.2">
      <c r="C347" t="s">
        <v>6</v>
      </c>
      <c r="D347">
        <v>41151</v>
      </c>
      <c r="E347">
        <v>90</v>
      </c>
      <c r="F347">
        <f>M347-L347</f>
        <v>32</v>
      </c>
      <c r="I347" t="s">
        <v>72</v>
      </c>
      <c r="J347" t="s">
        <v>104</v>
      </c>
      <c r="L347" t="str">
        <f t="shared" si="27"/>
        <v>2020/01/03</v>
      </c>
      <c r="M347" t="str">
        <f t="shared" si="28"/>
        <v>2020/02/04</v>
      </c>
      <c r="N347" t="s">
        <v>9</v>
      </c>
    </row>
    <row r="348" spans="1:14" hidden="1" x14ac:dyDescent="0.2">
      <c r="C348" t="s">
        <v>6</v>
      </c>
      <c r="D348">
        <v>4568</v>
      </c>
      <c r="E348">
        <v>10</v>
      </c>
      <c r="I348" t="s">
        <v>253</v>
      </c>
      <c r="L348" t="str">
        <f t="shared" si="27"/>
        <v>2020/01/18</v>
      </c>
      <c r="M348" t="e">
        <f t="shared" si="28"/>
        <v>#VALUE!</v>
      </c>
      <c r="N348" t="s">
        <v>9</v>
      </c>
    </row>
    <row r="349" spans="1:14" hidden="1" x14ac:dyDescent="0.2">
      <c r="C349" t="s">
        <v>10</v>
      </c>
      <c r="D349">
        <v>78283</v>
      </c>
      <c r="E349">
        <v>50</v>
      </c>
      <c r="F349">
        <f>M349-L349</f>
        <v>2</v>
      </c>
      <c r="I349" t="s">
        <v>254</v>
      </c>
      <c r="J349" t="s">
        <v>255</v>
      </c>
      <c r="L349" t="str">
        <f t="shared" si="27"/>
        <v>2020/01/29</v>
      </c>
      <c r="M349" t="str">
        <f t="shared" si="28"/>
        <v>2020/01/31</v>
      </c>
      <c r="N349" t="s">
        <v>187</v>
      </c>
    </row>
    <row r="350" spans="1:14" x14ac:dyDescent="0.2">
      <c r="C350" t="s">
        <v>6</v>
      </c>
      <c r="D350">
        <v>146456</v>
      </c>
      <c r="E350">
        <v>201</v>
      </c>
      <c r="F350">
        <f>M350-L350</f>
        <v>-2</v>
      </c>
      <c r="I350" t="s">
        <v>79</v>
      </c>
      <c r="J350" t="s">
        <v>80</v>
      </c>
      <c r="L350" t="str">
        <f t="shared" si="27"/>
        <v>2020/01/03</v>
      </c>
      <c r="M350" t="str">
        <f t="shared" si="28"/>
        <v>2020/01/01</v>
      </c>
      <c r="N350" t="s">
        <v>9</v>
      </c>
    </row>
    <row r="351" spans="1:14" x14ac:dyDescent="0.2">
      <c r="C351" t="s">
        <v>6</v>
      </c>
      <c r="D351">
        <v>369006</v>
      </c>
      <c r="E351">
        <v>670</v>
      </c>
      <c r="F351">
        <f>M351-L351</f>
        <v>32</v>
      </c>
      <c r="I351" t="s">
        <v>72</v>
      </c>
      <c r="J351" t="s">
        <v>104</v>
      </c>
      <c r="L351" t="str">
        <f t="shared" si="27"/>
        <v>2020/01/03</v>
      </c>
      <c r="M351" t="str">
        <f t="shared" si="28"/>
        <v>2020/02/04</v>
      </c>
      <c r="N351" t="s">
        <v>9</v>
      </c>
    </row>
    <row r="352" spans="1:14" hidden="1" x14ac:dyDescent="0.2">
      <c r="C352" t="s">
        <v>127</v>
      </c>
      <c r="D352">
        <v>6560622</v>
      </c>
      <c r="E352">
        <v>8339</v>
      </c>
      <c r="F352">
        <f>M352-L352</f>
        <v>27</v>
      </c>
      <c r="I352" t="s">
        <v>256</v>
      </c>
      <c r="J352" t="s">
        <v>257</v>
      </c>
      <c r="L352" t="str">
        <f t="shared" si="27"/>
        <v>2020/02/02</v>
      </c>
      <c r="M352" t="str">
        <f t="shared" si="28"/>
        <v>2020/02/29</v>
      </c>
      <c r="N352" t="s">
        <v>130</v>
      </c>
    </row>
    <row r="353" spans="1:14" x14ac:dyDescent="0.2">
      <c r="C353" t="s">
        <v>6</v>
      </c>
      <c r="D353">
        <v>162407</v>
      </c>
      <c r="E353">
        <v>209</v>
      </c>
      <c r="F353">
        <f>M353-L353</f>
        <v>287</v>
      </c>
      <c r="I353" t="s">
        <v>113</v>
      </c>
      <c r="J353" t="s">
        <v>114</v>
      </c>
      <c r="L353" t="str">
        <f t="shared" si="27"/>
        <v>2019/11/18</v>
      </c>
      <c r="M353" t="str">
        <f t="shared" si="28"/>
        <v>2020/08/31</v>
      </c>
      <c r="N353" t="s">
        <v>9</v>
      </c>
    </row>
    <row r="354" spans="1:14" hidden="1" x14ac:dyDescent="0.2">
      <c r="C354" t="s">
        <v>6</v>
      </c>
      <c r="D354">
        <v>253887</v>
      </c>
      <c r="E354">
        <v>95</v>
      </c>
      <c r="I354" t="s">
        <v>258</v>
      </c>
      <c r="L354" t="str">
        <f t="shared" si="27"/>
        <v>2020/01/14</v>
      </c>
      <c r="M354" t="e">
        <f t="shared" si="28"/>
        <v>#VALUE!</v>
      </c>
      <c r="N354" t="s">
        <v>9</v>
      </c>
    </row>
    <row r="355" spans="1:14" x14ac:dyDescent="0.2">
      <c r="C355" t="s">
        <v>6</v>
      </c>
      <c r="D355">
        <v>512483</v>
      </c>
      <c r="E355">
        <v>1250</v>
      </c>
      <c r="F355">
        <f>M355-L355</f>
        <v>13</v>
      </c>
      <c r="I355" t="s">
        <v>259</v>
      </c>
      <c r="J355" t="s">
        <v>260</v>
      </c>
      <c r="L355" t="str">
        <f t="shared" si="27"/>
        <v>2020/01/06</v>
      </c>
      <c r="M355" t="str">
        <f t="shared" si="28"/>
        <v>2020/01/19</v>
      </c>
      <c r="N355" t="s">
        <v>9</v>
      </c>
    </row>
    <row r="356" spans="1:14" hidden="1" x14ac:dyDescent="0.2">
      <c r="C356" t="s">
        <v>39</v>
      </c>
      <c r="D356">
        <v>16164</v>
      </c>
      <c r="E356">
        <v>38</v>
      </c>
      <c r="I356" t="s">
        <v>40</v>
      </c>
      <c r="L356" t="str">
        <f t="shared" si="27"/>
        <v>2020/02/01</v>
      </c>
      <c r="M356" t="e">
        <f t="shared" si="28"/>
        <v>#VALUE!</v>
      </c>
      <c r="N356" t="s">
        <v>41</v>
      </c>
    </row>
    <row r="357" spans="1:14" x14ac:dyDescent="0.2">
      <c r="C357" t="s">
        <v>6</v>
      </c>
      <c r="D357">
        <v>907794</v>
      </c>
      <c r="E357">
        <v>2580</v>
      </c>
      <c r="F357">
        <f t="shared" ref="F357:F362" si="30">M357-L357</f>
        <v>29</v>
      </c>
      <c r="I357" t="s">
        <v>261</v>
      </c>
      <c r="J357" t="s">
        <v>52</v>
      </c>
      <c r="L357" t="str">
        <f t="shared" si="27"/>
        <v>2020/02/01</v>
      </c>
      <c r="M357" t="str">
        <f t="shared" si="28"/>
        <v>2020/03/01</v>
      </c>
      <c r="N357" t="s">
        <v>9</v>
      </c>
    </row>
    <row r="358" spans="1:14" x14ac:dyDescent="0.2">
      <c r="A358" s="1"/>
      <c r="C358" t="s">
        <v>6</v>
      </c>
      <c r="D358">
        <v>101489</v>
      </c>
      <c r="E358">
        <v>250</v>
      </c>
      <c r="F358">
        <f t="shared" si="30"/>
        <v>25</v>
      </c>
      <c r="I358" t="s">
        <v>262</v>
      </c>
      <c r="J358" t="s">
        <v>263</v>
      </c>
      <c r="L358" t="str">
        <f t="shared" si="27"/>
        <v>2020/01/16</v>
      </c>
      <c r="M358" t="str">
        <f t="shared" si="28"/>
        <v>2020/02/10</v>
      </c>
      <c r="N358" t="s">
        <v>9</v>
      </c>
    </row>
    <row r="359" spans="1:14" x14ac:dyDescent="0.2">
      <c r="C359" t="s">
        <v>6</v>
      </c>
      <c r="D359">
        <v>153514</v>
      </c>
      <c r="E359">
        <v>1181</v>
      </c>
      <c r="F359">
        <f t="shared" si="30"/>
        <v>27</v>
      </c>
      <c r="I359" t="s">
        <v>103</v>
      </c>
      <c r="J359" t="s">
        <v>24</v>
      </c>
      <c r="L359" t="str">
        <f t="shared" si="27"/>
        <v>2020/02/06</v>
      </c>
      <c r="M359" t="str">
        <f t="shared" si="28"/>
        <v>2020/03/04</v>
      </c>
      <c r="N359" t="s">
        <v>9</v>
      </c>
    </row>
    <row r="360" spans="1:14" x14ac:dyDescent="0.2">
      <c r="C360" t="s">
        <v>6</v>
      </c>
      <c r="D360">
        <v>221127</v>
      </c>
      <c r="E360">
        <v>415</v>
      </c>
      <c r="F360">
        <f t="shared" si="30"/>
        <v>28</v>
      </c>
      <c r="I360" t="s">
        <v>264</v>
      </c>
      <c r="J360" t="s">
        <v>82</v>
      </c>
      <c r="L360" t="str">
        <f t="shared" si="27"/>
        <v>2020/01/04</v>
      </c>
      <c r="M360" t="str">
        <f t="shared" si="28"/>
        <v>2020/02/01</v>
      </c>
      <c r="N360" t="s">
        <v>9</v>
      </c>
    </row>
    <row r="361" spans="1:14" x14ac:dyDescent="0.2">
      <c r="C361" t="s">
        <v>6</v>
      </c>
      <c r="D361">
        <v>19589</v>
      </c>
      <c r="E361">
        <v>32</v>
      </c>
      <c r="F361">
        <f t="shared" si="30"/>
        <v>226</v>
      </c>
      <c r="I361" t="s">
        <v>21</v>
      </c>
      <c r="J361" t="s">
        <v>22</v>
      </c>
      <c r="L361" t="str">
        <f t="shared" si="27"/>
        <v>2019/10/18</v>
      </c>
      <c r="M361" t="str">
        <f t="shared" si="28"/>
        <v>2020/05/31</v>
      </c>
      <c r="N361" t="s">
        <v>9</v>
      </c>
    </row>
    <row r="362" spans="1:14" x14ac:dyDescent="0.2">
      <c r="C362" t="s">
        <v>6</v>
      </c>
      <c r="D362">
        <v>4925</v>
      </c>
      <c r="E362">
        <v>62</v>
      </c>
      <c r="F362">
        <f t="shared" si="30"/>
        <v>105</v>
      </c>
      <c r="I362" t="s">
        <v>158</v>
      </c>
      <c r="J362" t="s">
        <v>159</v>
      </c>
      <c r="L362" t="str">
        <f t="shared" si="27"/>
        <v>2020/02/17</v>
      </c>
      <c r="M362" t="str">
        <f t="shared" si="28"/>
        <v>2020/06/01</v>
      </c>
      <c r="N362" t="s">
        <v>9</v>
      </c>
    </row>
    <row r="363" spans="1:14" hidden="1" x14ac:dyDescent="0.2">
      <c r="C363" t="s">
        <v>10</v>
      </c>
      <c r="D363">
        <v>1164</v>
      </c>
      <c r="E363">
        <v>0</v>
      </c>
      <c r="I363" t="s">
        <v>36</v>
      </c>
      <c r="L363" t="str">
        <f t="shared" si="27"/>
        <v>2020/01/17</v>
      </c>
      <c r="M363" t="e">
        <f t="shared" si="28"/>
        <v>#VALUE!</v>
      </c>
      <c r="N363" t="s">
        <v>28</v>
      </c>
    </row>
    <row r="364" spans="1:14" hidden="1" x14ac:dyDescent="0.2">
      <c r="C364" t="s">
        <v>6</v>
      </c>
      <c r="D364">
        <v>31647818</v>
      </c>
      <c r="E364">
        <v>14740</v>
      </c>
      <c r="I364" t="s">
        <v>265</v>
      </c>
      <c r="L364" t="str">
        <f t="shared" si="27"/>
        <v>2020/01/07</v>
      </c>
      <c r="M364" t="e">
        <f t="shared" si="28"/>
        <v>#VALUE!</v>
      </c>
      <c r="N364" t="s">
        <v>9</v>
      </c>
    </row>
    <row r="365" spans="1:14" hidden="1" x14ac:dyDescent="0.2">
      <c r="C365" t="s">
        <v>39</v>
      </c>
      <c r="D365">
        <v>395159</v>
      </c>
      <c r="E365">
        <v>490</v>
      </c>
      <c r="F365">
        <f>M365-L365</f>
        <v>28</v>
      </c>
      <c r="I365" t="s">
        <v>244</v>
      </c>
      <c r="J365" t="s">
        <v>245</v>
      </c>
      <c r="L365" t="str">
        <f t="shared" si="27"/>
        <v>2020/02/18</v>
      </c>
      <c r="M365" t="str">
        <f t="shared" si="28"/>
        <v>2020/03/17</v>
      </c>
      <c r="N365" t="s">
        <v>41</v>
      </c>
    </row>
    <row r="366" spans="1:14" hidden="1" x14ac:dyDescent="0.2">
      <c r="C366" t="s">
        <v>10</v>
      </c>
      <c r="D366">
        <v>1334</v>
      </c>
      <c r="E366">
        <v>0</v>
      </c>
      <c r="I366" t="s">
        <v>36</v>
      </c>
      <c r="L366" t="str">
        <f t="shared" si="27"/>
        <v>2020/01/17</v>
      </c>
      <c r="M366" t="e">
        <f t="shared" si="28"/>
        <v>#VALUE!</v>
      </c>
      <c r="N366" t="s">
        <v>28</v>
      </c>
    </row>
    <row r="367" spans="1:14" x14ac:dyDescent="0.2">
      <c r="C367" t="s">
        <v>6</v>
      </c>
      <c r="D367">
        <v>4532245</v>
      </c>
      <c r="E367">
        <v>9472</v>
      </c>
      <c r="F367">
        <f>M367-L367</f>
        <v>8</v>
      </c>
      <c r="I367" t="s">
        <v>62</v>
      </c>
      <c r="J367" t="s">
        <v>63</v>
      </c>
      <c r="L367" t="str">
        <f t="shared" si="27"/>
        <v>2020/02/08</v>
      </c>
      <c r="M367" t="str">
        <f t="shared" si="28"/>
        <v>2020/02/16</v>
      </c>
      <c r="N367" t="s">
        <v>9</v>
      </c>
    </row>
    <row r="368" spans="1:14" x14ac:dyDescent="0.2">
      <c r="C368" t="s">
        <v>6</v>
      </c>
      <c r="D368">
        <v>3264610</v>
      </c>
      <c r="E368">
        <v>4031</v>
      </c>
      <c r="F368">
        <f>M368-L368</f>
        <v>63</v>
      </c>
      <c r="I368" t="s">
        <v>18</v>
      </c>
      <c r="J368" t="s">
        <v>15</v>
      </c>
      <c r="L368" t="str">
        <f t="shared" si="27"/>
        <v>2020/01/29</v>
      </c>
      <c r="M368" t="str">
        <f t="shared" si="28"/>
        <v>2020/04/01</v>
      </c>
      <c r="N368" t="s">
        <v>9</v>
      </c>
    </row>
    <row r="369" spans="1:14" hidden="1" x14ac:dyDescent="0.2">
      <c r="C369" t="s">
        <v>10</v>
      </c>
      <c r="D369">
        <v>51365</v>
      </c>
      <c r="E369">
        <v>211</v>
      </c>
      <c r="F369">
        <f>M369-L369</f>
        <v>50</v>
      </c>
      <c r="I369" t="s">
        <v>85</v>
      </c>
      <c r="J369" t="s">
        <v>86</v>
      </c>
      <c r="L369" t="str">
        <f t="shared" si="27"/>
        <v>2020/02/12</v>
      </c>
      <c r="M369" t="str">
        <f t="shared" si="28"/>
        <v>2020/04/02</v>
      </c>
      <c r="N369" t="s">
        <v>87</v>
      </c>
    </row>
    <row r="370" spans="1:14" hidden="1" x14ac:dyDescent="0.2">
      <c r="C370" t="s">
        <v>6</v>
      </c>
      <c r="D370">
        <v>956551</v>
      </c>
      <c r="E370">
        <v>610</v>
      </c>
      <c r="I370" t="s">
        <v>266</v>
      </c>
      <c r="L370" t="str">
        <f t="shared" si="27"/>
        <v>2020/01/14</v>
      </c>
      <c r="M370" t="e">
        <f t="shared" si="28"/>
        <v>#VALUE!</v>
      </c>
      <c r="N370" t="s">
        <v>9</v>
      </c>
    </row>
    <row r="371" spans="1:14" x14ac:dyDescent="0.2">
      <c r="C371" t="s">
        <v>6</v>
      </c>
      <c r="D371">
        <v>957067</v>
      </c>
      <c r="E371">
        <v>2070</v>
      </c>
      <c r="F371">
        <f>M371-L371</f>
        <v>29</v>
      </c>
      <c r="I371" t="s">
        <v>170</v>
      </c>
      <c r="J371" t="s">
        <v>171</v>
      </c>
      <c r="L371" t="str">
        <f t="shared" si="27"/>
        <v>2020/02/01</v>
      </c>
      <c r="M371" t="str">
        <f t="shared" si="28"/>
        <v>2020/03/01</v>
      </c>
      <c r="N371" t="s">
        <v>9</v>
      </c>
    </row>
    <row r="372" spans="1:14" x14ac:dyDescent="0.2">
      <c r="C372" t="s">
        <v>6</v>
      </c>
      <c r="D372">
        <v>10533180</v>
      </c>
      <c r="E372">
        <v>13888</v>
      </c>
      <c r="F372">
        <f>M372-L372</f>
        <v>26</v>
      </c>
      <c r="I372" t="s">
        <v>81</v>
      </c>
      <c r="J372" t="s">
        <v>82</v>
      </c>
      <c r="L372" t="str">
        <f t="shared" si="27"/>
        <v>2020/01/06</v>
      </c>
      <c r="M372" t="str">
        <f t="shared" si="28"/>
        <v>2020/02/01</v>
      </c>
      <c r="N372" t="s">
        <v>9</v>
      </c>
    </row>
    <row r="373" spans="1:14" hidden="1" x14ac:dyDescent="0.2">
      <c r="C373" t="s">
        <v>10</v>
      </c>
      <c r="D373">
        <v>1135</v>
      </c>
      <c r="E373">
        <v>0</v>
      </c>
      <c r="I373" t="s">
        <v>36</v>
      </c>
      <c r="L373" t="str">
        <f t="shared" si="27"/>
        <v>2020/01/17</v>
      </c>
      <c r="M373" t="e">
        <f t="shared" si="28"/>
        <v>#VALUE!</v>
      </c>
      <c r="N373" t="s">
        <v>28</v>
      </c>
    </row>
    <row r="374" spans="1:14" x14ac:dyDescent="0.2">
      <c r="C374" t="s">
        <v>6</v>
      </c>
      <c r="D374">
        <v>185665</v>
      </c>
      <c r="E374">
        <v>257</v>
      </c>
      <c r="F374">
        <f t="shared" ref="F374:F380" si="31">M374-L374</f>
        <v>29</v>
      </c>
      <c r="I374" t="s">
        <v>170</v>
      </c>
      <c r="J374" t="s">
        <v>171</v>
      </c>
      <c r="L374" t="str">
        <f t="shared" si="27"/>
        <v>2020/02/01</v>
      </c>
      <c r="M374" t="str">
        <f t="shared" si="28"/>
        <v>2020/03/01</v>
      </c>
      <c r="N374" t="s">
        <v>9</v>
      </c>
    </row>
    <row r="375" spans="1:14" hidden="1" x14ac:dyDescent="0.2">
      <c r="C375" t="s">
        <v>10</v>
      </c>
      <c r="D375">
        <v>2096</v>
      </c>
      <c r="E375">
        <v>7</v>
      </c>
      <c r="F375">
        <f t="shared" si="31"/>
        <v>23</v>
      </c>
      <c r="I375" t="s">
        <v>267</v>
      </c>
      <c r="J375" t="s">
        <v>268</v>
      </c>
      <c r="L375" t="str">
        <f t="shared" si="27"/>
        <v>2019/12/20</v>
      </c>
      <c r="M375" t="str">
        <f t="shared" si="28"/>
        <v>2020/01/12</v>
      </c>
      <c r="N375" t="s">
        <v>187</v>
      </c>
    </row>
    <row r="376" spans="1:14" x14ac:dyDescent="0.2">
      <c r="A376" s="1"/>
      <c r="C376" t="s">
        <v>6</v>
      </c>
      <c r="D376">
        <v>15707</v>
      </c>
      <c r="E376">
        <v>60</v>
      </c>
      <c r="F376">
        <f t="shared" si="31"/>
        <v>12</v>
      </c>
      <c r="I376" t="s">
        <v>23</v>
      </c>
      <c r="J376" t="s">
        <v>24</v>
      </c>
      <c r="L376" t="str">
        <f t="shared" si="27"/>
        <v>2020/02/21</v>
      </c>
      <c r="M376" t="str">
        <f t="shared" si="28"/>
        <v>2020/03/04</v>
      </c>
      <c r="N376" t="s">
        <v>9</v>
      </c>
    </row>
    <row r="377" spans="1:14" x14ac:dyDescent="0.2">
      <c r="C377" t="s">
        <v>6</v>
      </c>
      <c r="D377">
        <v>39060</v>
      </c>
      <c r="E377">
        <v>150</v>
      </c>
      <c r="F377">
        <f t="shared" si="31"/>
        <v>12</v>
      </c>
      <c r="I377" t="s">
        <v>23</v>
      </c>
      <c r="J377" t="s">
        <v>24</v>
      </c>
      <c r="L377" t="str">
        <f t="shared" si="27"/>
        <v>2020/02/21</v>
      </c>
      <c r="M377" t="str">
        <f t="shared" si="28"/>
        <v>2020/03/04</v>
      </c>
      <c r="N377" t="s">
        <v>9</v>
      </c>
    </row>
    <row r="378" spans="1:14" x14ac:dyDescent="0.2">
      <c r="C378" t="s">
        <v>6</v>
      </c>
      <c r="D378">
        <v>41537</v>
      </c>
      <c r="E378">
        <v>97</v>
      </c>
      <c r="F378">
        <f t="shared" si="31"/>
        <v>226</v>
      </c>
      <c r="I378" t="s">
        <v>21</v>
      </c>
      <c r="J378" t="s">
        <v>22</v>
      </c>
      <c r="L378" t="str">
        <f t="shared" si="27"/>
        <v>2019/10/18</v>
      </c>
      <c r="M378" t="str">
        <f t="shared" si="28"/>
        <v>2020/05/31</v>
      </c>
      <c r="N378" t="s">
        <v>9</v>
      </c>
    </row>
    <row r="379" spans="1:14" x14ac:dyDescent="0.2">
      <c r="C379" t="s">
        <v>6</v>
      </c>
      <c r="D379">
        <v>182138</v>
      </c>
      <c r="E379">
        <v>490</v>
      </c>
      <c r="F379">
        <f t="shared" si="31"/>
        <v>29</v>
      </c>
      <c r="I379" t="s">
        <v>170</v>
      </c>
      <c r="J379" t="s">
        <v>171</v>
      </c>
      <c r="L379" t="str">
        <f t="shared" si="27"/>
        <v>2020/02/01</v>
      </c>
      <c r="M379" t="str">
        <f t="shared" si="28"/>
        <v>2020/03/01</v>
      </c>
      <c r="N379" t="s">
        <v>9</v>
      </c>
    </row>
    <row r="380" spans="1:14" x14ac:dyDescent="0.2">
      <c r="C380" t="s">
        <v>6</v>
      </c>
      <c r="D380">
        <v>1447769</v>
      </c>
      <c r="E380">
        <v>13934</v>
      </c>
      <c r="F380">
        <f t="shared" si="31"/>
        <v>8</v>
      </c>
      <c r="I380" t="s">
        <v>62</v>
      </c>
      <c r="J380" t="s">
        <v>63</v>
      </c>
      <c r="L380" t="str">
        <f t="shared" si="27"/>
        <v>2020/02/08</v>
      </c>
      <c r="M380" t="str">
        <f t="shared" si="28"/>
        <v>2020/02/16</v>
      </c>
      <c r="N380" t="s">
        <v>9</v>
      </c>
    </row>
    <row r="381" spans="1:14" hidden="1" x14ac:dyDescent="0.2">
      <c r="C381" t="s">
        <v>6</v>
      </c>
      <c r="D381">
        <v>2657857</v>
      </c>
      <c r="E381">
        <v>4156</v>
      </c>
      <c r="I381" t="s">
        <v>155</v>
      </c>
      <c r="L381" t="str">
        <f t="shared" si="27"/>
        <v>2020/01/02</v>
      </c>
      <c r="M381" t="e">
        <f t="shared" si="28"/>
        <v>#VALUE!</v>
      </c>
      <c r="N381" t="s">
        <v>9</v>
      </c>
    </row>
    <row r="382" spans="1:14" x14ac:dyDescent="0.2">
      <c r="C382" t="s">
        <v>6</v>
      </c>
      <c r="D382">
        <v>3684</v>
      </c>
      <c r="E382">
        <v>23</v>
      </c>
      <c r="F382">
        <f>M382-L382</f>
        <v>108</v>
      </c>
      <c r="I382" t="s">
        <v>269</v>
      </c>
      <c r="J382" t="s">
        <v>270</v>
      </c>
      <c r="L382" t="str">
        <f t="shared" si="27"/>
        <v>2020/02/13</v>
      </c>
      <c r="M382" t="str">
        <f t="shared" si="28"/>
        <v>2020/05/31</v>
      </c>
      <c r="N382" t="s">
        <v>9</v>
      </c>
    </row>
    <row r="383" spans="1:14" x14ac:dyDescent="0.2">
      <c r="C383" t="s">
        <v>6</v>
      </c>
      <c r="D383">
        <v>94273</v>
      </c>
      <c r="E383">
        <v>159</v>
      </c>
      <c r="F383">
        <f>M383-L383</f>
        <v>12</v>
      </c>
      <c r="I383" t="s">
        <v>19</v>
      </c>
      <c r="J383" t="s">
        <v>20</v>
      </c>
      <c r="L383" t="str">
        <f t="shared" si="27"/>
        <v>2020/01/23</v>
      </c>
      <c r="M383" t="str">
        <f t="shared" si="28"/>
        <v>2020/02/04</v>
      </c>
      <c r="N383" t="s">
        <v>9</v>
      </c>
    </row>
    <row r="384" spans="1:14" hidden="1" x14ac:dyDescent="0.2">
      <c r="C384" t="s">
        <v>10</v>
      </c>
      <c r="D384">
        <v>1087795</v>
      </c>
      <c r="E384">
        <v>222</v>
      </c>
      <c r="F384">
        <f>M384-L384</f>
        <v>16</v>
      </c>
      <c r="I384" t="s">
        <v>271</v>
      </c>
      <c r="J384" t="s">
        <v>272</v>
      </c>
      <c r="L384" t="str">
        <f t="shared" si="27"/>
        <v>2020/01/17</v>
      </c>
      <c r="M384" t="str">
        <f t="shared" si="28"/>
        <v>2020/02/02</v>
      </c>
      <c r="N384" t="s">
        <v>78</v>
      </c>
    </row>
    <row r="385" spans="3:14" hidden="1" x14ac:dyDescent="0.2">
      <c r="C385" t="s">
        <v>6</v>
      </c>
      <c r="D385">
        <v>4067232</v>
      </c>
      <c r="E385">
        <v>3294</v>
      </c>
      <c r="I385" t="s">
        <v>273</v>
      </c>
      <c r="L385" t="str">
        <f t="shared" si="27"/>
        <v>2020/02/18</v>
      </c>
      <c r="M385" t="e">
        <f t="shared" si="28"/>
        <v>#VALUE!</v>
      </c>
      <c r="N385" t="s">
        <v>9</v>
      </c>
    </row>
    <row r="386" spans="3:14" x14ac:dyDescent="0.2">
      <c r="C386" t="s">
        <v>6</v>
      </c>
      <c r="D386">
        <v>1025324</v>
      </c>
      <c r="E386">
        <v>2081</v>
      </c>
      <c r="F386">
        <f t="shared" ref="F386:F399" si="32">M386-L386</f>
        <v>29</v>
      </c>
      <c r="I386" t="s">
        <v>94</v>
      </c>
      <c r="J386" t="s">
        <v>61</v>
      </c>
      <c r="L386" t="str">
        <f t="shared" si="27"/>
        <v>2020/02/01</v>
      </c>
      <c r="M386" t="str">
        <f t="shared" si="28"/>
        <v>2020/03/01</v>
      </c>
      <c r="N386" t="s">
        <v>9</v>
      </c>
    </row>
    <row r="387" spans="3:14" x14ac:dyDescent="0.2">
      <c r="C387" t="s">
        <v>6</v>
      </c>
      <c r="D387">
        <v>104354</v>
      </c>
      <c r="E387">
        <v>192</v>
      </c>
      <c r="F387">
        <f t="shared" si="32"/>
        <v>40</v>
      </c>
      <c r="I387" t="s">
        <v>72</v>
      </c>
      <c r="J387" t="s">
        <v>73</v>
      </c>
      <c r="L387" t="str">
        <f t="shared" ref="L387:L450" si="33">LEFT(I387,FIND(" ",I387)-1)</f>
        <v>2020/01/03</v>
      </c>
      <c r="M387" t="str">
        <f t="shared" ref="M387:M450" si="34">LEFT(J387,FIND(" ",J387)-1)</f>
        <v>2020/02/12</v>
      </c>
      <c r="N387" t="s">
        <v>9</v>
      </c>
    </row>
    <row r="388" spans="3:14" x14ac:dyDescent="0.2">
      <c r="C388" t="s">
        <v>6</v>
      </c>
      <c r="D388">
        <v>171263</v>
      </c>
      <c r="E388">
        <v>402</v>
      </c>
      <c r="F388">
        <f t="shared" si="32"/>
        <v>226</v>
      </c>
      <c r="I388" t="s">
        <v>21</v>
      </c>
      <c r="J388" t="s">
        <v>22</v>
      </c>
      <c r="L388" t="str">
        <f t="shared" si="33"/>
        <v>2019/10/18</v>
      </c>
      <c r="M388" t="str">
        <f t="shared" si="34"/>
        <v>2020/05/31</v>
      </c>
      <c r="N388" t="s">
        <v>9</v>
      </c>
    </row>
    <row r="389" spans="3:14" x14ac:dyDescent="0.2">
      <c r="C389" t="s">
        <v>6</v>
      </c>
      <c r="D389">
        <v>134513</v>
      </c>
      <c r="E389">
        <v>281</v>
      </c>
      <c r="F389">
        <f t="shared" si="32"/>
        <v>226</v>
      </c>
      <c r="I389" t="s">
        <v>21</v>
      </c>
      <c r="J389" t="s">
        <v>22</v>
      </c>
      <c r="L389" t="str">
        <f t="shared" si="33"/>
        <v>2019/10/18</v>
      </c>
      <c r="M389" t="str">
        <f t="shared" si="34"/>
        <v>2020/05/31</v>
      </c>
      <c r="N389" t="s">
        <v>9</v>
      </c>
    </row>
    <row r="390" spans="3:14" x14ac:dyDescent="0.2">
      <c r="C390" t="s">
        <v>6</v>
      </c>
      <c r="D390">
        <v>330353</v>
      </c>
      <c r="E390">
        <v>580</v>
      </c>
      <c r="F390">
        <f t="shared" si="32"/>
        <v>32</v>
      </c>
      <c r="I390" t="s">
        <v>72</v>
      </c>
      <c r="J390" t="s">
        <v>104</v>
      </c>
      <c r="L390" t="str">
        <f t="shared" si="33"/>
        <v>2020/01/03</v>
      </c>
      <c r="M390" t="str">
        <f t="shared" si="34"/>
        <v>2020/02/04</v>
      </c>
      <c r="N390" t="s">
        <v>9</v>
      </c>
    </row>
    <row r="391" spans="3:14" x14ac:dyDescent="0.2">
      <c r="C391" t="s">
        <v>6</v>
      </c>
      <c r="D391">
        <v>48012</v>
      </c>
      <c r="E391">
        <v>77</v>
      </c>
      <c r="F391">
        <f t="shared" si="32"/>
        <v>7</v>
      </c>
      <c r="I391" t="s">
        <v>125</v>
      </c>
      <c r="J391" t="s">
        <v>126</v>
      </c>
      <c r="L391" t="str">
        <f t="shared" si="33"/>
        <v>2020/01/23</v>
      </c>
      <c r="M391" t="str">
        <f t="shared" si="34"/>
        <v>2020/01/30</v>
      </c>
      <c r="N391" t="s">
        <v>9</v>
      </c>
    </row>
    <row r="392" spans="3:14" x14ac:dyDescent="0.2">
      <c r="C392" t="s">
        <v>6</v>
      </c>
      <c r="D392">
        <v>3958</v>
      </c>
      <c r="E392">
        <v>35</v>
      </c>
      <c r="F392">
        <f t="shared" si="32"/>
        <v>27</v>
      </c>
      <c r="I392" t="s">
        <v>90</v>
      </c>
      <c r="J392" t="s">
        <v>91</v>
      </c>
      <c r="L392" t="str">
        <f t="shared" si="33"/>
        <v>2020/02/06</v>
      </c>
      <c r="M392" t="str">
        <f t="shared" si="34"/>
        <v>2020/03/04</v>
      </c>
      <c r="N392" t="s">
        <v>9</v>
      </c>
    </row>
    <row r="393" spans="3:14" x14ac:dyDescent="0.2">
      <c r="C393" t="s">
        <v>6</v>
      </c>
      <c r="D393">
        <v>1</v>
      </c>
      <c r="E393">
        <v>0</v>
      </c>
      <c r="F393">
        <f t="shared" si="32"/>
        <v>10</v>
      </c>
      <c r="I393" t="s">
        <v>133</v>
      </c>
      <c r="J393" t="s">
        <v>134</v>
      </c>
      <c r="L393" t="str">
        <f t="shared" si="33"/>
        <v>2020/02/22</v>
      </c>
      <c r="M393" t="str">
        <f t="shared" si="34"/>
        <v>2020/03/03</v>
      </c>
      <c r="N393" t="s">
        <v>9</v>
      </c>
    </row>
    <row r="394" spans="3:14" x14ac:dyDescent="0.2">
      <c r="C394" t="s">
        <v>6</v>
      </c>
      <c r="D394">
        <v>1712451</v>
      </c>
      <c r="E394">
        <v>2085</v>
      </c>
      <c r="F394">
        <f t="shared" si="32"/>
        <v>63</v>
      </c>
      <c r="I394" t="s">
        <v>18</v>
      </c>
      <c r="J394" t="s">
        <v>15</v>
      </c>
      <c r="L394" t="str">
        <f t="shared" si="33"/>
        <v>2020/01/29</v>
      </c>
      <c r="M394" t="str">
        <f t="shared" si="34"/>
        <v>2020/04/01</v>
      </c>
      <c r="N394" t="s">
        <v>9</v>
      </c>
    </row>
    <row r="395" spans="3:14" x14ac:dyDescent="0.2">
      <c r="C395" t="s">
        <v>6</v>
      </c>
      <c r="D395">
        <v>1029122</v>
      </c>
      <c r="E395">
        <v>2089</v>
      </c>
      <c r="F395">
        <f t="shared" si="32"/>
        <v>29</v>
      </c>
      <c r="I395" t="s">
        <v>94</v>
      </c>
      <c r="J395" t="s">
        <v>61</v>
      </c>
      <c r="L395" t="str">
        <f t="shared" si="33"/>
        <v>2020/02/01</v>
      </c>
      <c r="M395" t="str">
        <f t="shared" si="34"/>
        <v>2020/03/01</v>
      </c>
      <c r="N395" t="s">
        <v>9</v>
      </c>
    </row>
    <row r="396" spans="3:14" x14ac:dyDescent="0.2">
      <c r="C396" t="s">
        <v>6</v>
      </c>
      <c r="D396">
        <v>10806135</v>
      </c>
      <c r="E396">
        <v>22918</v>
      </c>
      <c r="F396">
        <f t="shared" si="32"/>
        <v>8</v>
      </c>
      <c r="I396" t="s">
        <v>62</v>
      </c>
      <c r="J396" t="s">
        <v>63</v>
      </c>
      <c r="L396" t="str">
        <f t="shared" si="33"/>
        <v>2020/02/08</v>
      </c>
      <c r="M396" t="str">
        <f t="shared" si="34"/>
        <v>2020/02/16</v>
      </c>
      <c r="N396" t="s">
        <v>9</v>
      </c>
    </row>
    <row r="397" spans="3:14" x14ac:dyDescent="0.2">
      <c r="C397" t="s">
        <v>6</v>
      </c>
      <c r="D397">
        <v>1478306</v>
      </c>
      <c r="E397">
        <v>14373</v>
      </c>
      <c r="F397">
        <f t="shared" si="32"/>
        <v>8</v>
      </c>
      <c r="I397" t="s">
        <v>62</v>
      </c>
      <c r="J397" t="s">
        <v>63</v>
      </c>
      <c r="L397" t="str">
        <f t="shared" si="33"/>
        <v>2020/02/08</v>
      </c>
      <c r="M397" t="str">
        <f t="shared" si="34"/>
        <v>2020/02/16</v>
      </c>
      <c r="N397" t="s">
        <v>9</v>
      </c>
    </row>
    <row r="398" spans="3:14" x14ac:dyDescent="0.2">
      <c r="C398" t="s">
        <v>6</v>
      </c>
      <c r="D398">
        <v>1211779</v>
      </c>
      <c r="E398">
        <v>2942</v>
      </c>
      <c r="F398">
        <f t="shared" si="32"/>
        <v>31</v>
      </c>
      <c r="I398" t="s">
        <v>45</v>
      </c>
      <c r="J398" t="s">
        <v>46</v>
      </c>
      <c r="L398" t="str">
        <f t="shared" si="33"/>
        <v>2020/01/01</v>
      </c>
      <c r="M398" t="str">
        <f t="shared" si="34"/>
        <v>2020/02/01</v>
      </c>
      <c r="N398" t="s">
        <v>9</v>
      </c>
    </row>
    <row r="399" spans="3:14" x14ac:dyDescent="0.2">
      <c r="C399" t="s">
        <v>6</v>
      </c>
      <c r="D399">
        <v>649771</v>
      </c>
      <c r="E399">
        <v>6203</v>
      </c>
      <c r="F399">
        <f t="shared" si="32"/>
        <v>63</v>
      </c>
      <c r="I399" t="s">
        <v>18</v>
      </c>
      <c r="J399" t="s">
        <v>15</v>
      </c>
      <c r="L399" t="str">
        <f t="shared" si="33"/>
        <v>2020/01/29</v>
      </c>
      <c r="M399" t="str">
        <f t="shared" si="34"/>
        <v>2020/04/01</v>
      </c>
      <c r="N399" t="s">
        <v>9</v>
      </c>
    </row>
    <row r="400" spans="3:14" hidden="1" x14ac:dyDescent="0.2">
      <c r="C400" t="s">
        <v>6</v>
      </c>
      <c r="D400">
        <v>31440</v>
      </c>
      <c r="E400">
        <v>55</v>
      </c>
      <c r="I400" t="s">
        <v>124</v>
      </c>
      <c r="L400" t="str">
        <f t="shared" si="33"/>
        <v>2020/02/17</v>
      </c>
      <c r="M400" t="e">
        <f t="shared" si="34"/>
        <v>#VALUE!</v>
      </c>
      <c r="N400" t="s">
        <v>9</v>
      </c>
    </row>
    <row r="401" spans="3:14" x14ac:dyDescent="0.2">
      <c r="C401" t="s">
        <v>6</v>
      </c>
      <c r="D401">
        <v>125843</v>
      </c>
      <c r="E401">
        <v>128</v>
      </c>
      <c r="F401">
        <f>M401-L401</f>
        <v>31</v>
      </c>
      <c r="I401" t="s">
        <v>45</v>
      </c>
      <c r="J401" t="s">
        <v>46</v>
      </c>
      <c r="L401" t="str">
        <f t="shared" si="33"/>
        <v>2020/01/01</v>
      </c>
      <c r="M401" t="str">
        <f t="shared" si="34"/>
        <v>2020/02/01</v>
      </c>
      <c r="N401" t="s">
        <v>9</v>
      </c>
    </row>
    <row r="402" spans="3:14" x14ac:dyDescent="0.2">
      <c r="C402" t="s">
        <v>6</v>
      </c>
      <c r="D402">
        <v>2439394</v>
      </c>
      <c r="E402">
        <v>4935</v>
      </c>
      <c r="F402">
        <f>M402-L402</f>
        <v>10</v>
      </c>
      <c r="I402" t="s">
        <v>274</v>
      </c>
      <c r="J402" t="s">
        <v>275</v>
      </c>
      <c r="L402" t="str">
        <f t="shared" si="33"/>
        <v>2020/02/22</v>
      </c>
      <c r="M402" t="str">
        <f t="shared" si="34"/>
        <v>2020/03/03</v>
      </c>
      <c r="N402" t="s">
        <v>9</v>
      </c>
    </row>
    <row r="403" spans="3:14" hidden="1" x14ac:dyDescent="0.2">
      <c r="C403" t="s">
        <v>10</v>
      </c>
      <c r="D403">
        <v>12972</v>
      </c>
      <c r="E403">
        <v>35</v>
      </c>
      <c r="F403">
        <f>M403-L403</f>
        <v>7</v>
      </c>
      <c r="I403" t="s">
        <v>276</v>
      </c>
      <c r="J403" t="s">
        <v>277</v>
      </c>
      <c r="L403" t="str">
        <f t="shared" si="33"/>
        <v>2020/01/02</v>
      </c>
      <c r="M403" t="str">
        <f t="shared" si="34"/>
        <v>2020/01/09</v>
      </c>
      <c r="N403" t="s">
        <v>50</v>
      </c>
    </row>
    <row r="404" spans="3:14" x14ac:dyDescent="0.2">
      <c r="C404" t="s">
        <v>6</v>
      </c>
      <c r="D404">
        <v>19573</v>
      </c>
      <c r="E404">
        <v>75</v>
      </c>
      <c r="F404">
        <f>M404-L404</f>
        <v>22</v>
      </c>
      <c r="I404" t="s">
        <v>278</v>
      </c>
      <c r="J404" t="s">
        <v>279</v>
      </c>
      <c r="L404" t="str">
        <f t="shared" si="33"/>
        <v>2020/02/11</v>
      </c>
      <c r="M404" t="str">
        <f t="shared" si="34"/>
        <v>2020/03/04</v>
      </c>
      <c r="N404" t="s">
        <v>9</v>
      </c>
    </row>
    <row r="405" spans="3:14" hidden="1" x14ac:dyDescent="0.2">
      <c r="C405" t="s">
        <v>6</v>
      </c>
      <c r="D405">
        <v>6798</v>
      </c>
      <c r="E405">
        <v>17</v>
      </c>
      <c r="I405" t="s">
        <v>196</v>
      </c>
      <c r="L405" t="str">
        <f t="shared" si="33"/>
        <v>2020/01/24</v>
      </c>
      <c r="M405" t="e">
        <f t="shared" si="34"/>
        <v>#VALUE!</v>
      </c>
      <c r="N405" t="s">
        <v>9</v>
      </c>
    </row>
    <row r="406" spans="3:14" hidden="1" x14ac:dyDescent="0.2">
      <c r="C406" t="s">
        <v>6</v>
      </c>
      <c r="D406">
        <v>2114294</v>
      </c>
      <c r="E406">
        <v>1420</v>
      </c>
      <c r="I406" t="s">
        <v>280</v>
      </c>
      <c r="L406" t="str">
        <f t="shared" si="33"/>
        <v>2020/02/03</v>
      </c>
      <c r="M406" t="e">
        <f t="shared" si="34"/>
        <v>#VALUE!</v>
      </c>
      <c r="N406" t="s">
        <v>9</v>
      </c>
    </row>
    <row r="407" spans="3:14" hidden="1" x14ac:dyDescent="0.2">
      <c r="C407" t="s">
        <v>6</v>
      </c>
      <c r="D407">
        <v>1222</v>
      </c>
      <c r="E407">
        <v>1</v>
      </c>
      <c r="I407" t="s">
        <v>188</v>
      </c>
      <c r="L407" t="str">
        <f t="shared" si="33"/>
        <v>2020/01/20</v>
      </c>
      <c r="M407" t="e">
        <f t="shared" si="34"/>
        <v>#VALUE!</v>
      </c>
      <c r="N407" t="s">
        <v>9</v>
      </c>
    </row>
    <row r="408" spans="3:14" x14ac:dyDescent="0.2">
      <c r="C408" t="s">
        <v>6</v>
      </c>
      <c r="D408">
        <v>187718</v>
      </c>
      <c r="E408">
        <v>467</v>
      </c>
      <c r="F408">
        <f t="shared" ref="F408:F414" si="35">M408-L408</f>
        <v>29</v>
      </c>
      <c r="I408" t="s">
        <v>170</v>
      </c>
      <c r="J408" t="s">
        <v>171</v>
      </c>
      <c r="L408" t="str">
        <f t="shared" si="33"/>
        <v>2020/02/01</v>
      </c>
      <c r="M408" t="str">
        <f t="shared" si="34"/>
        <v>2020/03/01</v>
      </c>
      <c r="N408" t="s">
        <v>9</v>
      </c>
    </row>
    <row r="409" spans="3:14" x14ac:dyDescent="0.2">
      <c r="C409" t="s">
        <v>6</v>
      </c>
      <c r="D409">
        <v>48647</v>
      </c>
      <c r="E409">
        <v>83</v>
      </c>
      <c r="F409">
        <f t="shared" si="35"/>
        <v>40</v>
      </c>
      <c r="I409" t="s">
        <v>72</v>
      </c>
      <c r="J409" t="s">
        <v>73</v>
      </c>
      <c r="L409" t="str">
        <f t="shared" si="33"/>
        <v>2020/01/03</v>
      </c>
      <c r="M409" t="str">
        <f t="shared" si="34"/>
        <v>2020/02/12</v>
      </c>
      <c r="N409" t="s">
        <v>9</v>
      </c>
    </row>
    <row r="410" spans="3:14" x14ac:dyDescent="0.2">
      <c r="C410" t="s">
        <v>6</v>
      </c>
      <c r="D410">
        <v>254425</v>
      </c>
      <c r="E410">
        <v>2458</v>
      </c>
      <c r="F410">
        <f t="shared" si="35"/>
        <v>84</v>
      </c>
      <c r="I410" t="s">
        <v>66</v>
      </c>
      <c r="J410" t="s">
        <v>15</v>
      </c>
      <c r="L410" t="str">
        <f t="shared" si="33"/>
        <v>2020/01/08</v>
      </c>
      <c r="M410" t="str">
        <f t="shared" si="34"/>
        <v>2020/04/01</v>
      </c>
      <c r="N410" t="s">
        <v>9</v>
      </c>
    </row>
    <row r="411" spans="3:14" hidden="1" x14ac:dyDescent="0.2">
      <c r="C411" t="s">
        <v>10</v>
      </c>
      <c r="D411">
        <v>59307</v>
      </c>
      <c r="E411">
        <v>33</v>
      </c>
      <c r="F411">
        <f t="shared" si="35"/>
        <v>1</v>
      </c>
      <c r="I411" t="s">
        <v>281</v>
      </c>
      <c r="J411" t="s">
        <v>282</v>
      </c>
      <c r="L411" t="str">
        <f t="shared" si="33"/>
        <v>2020/01/24</v>
      </c>
      <c r="M411" t="str">
        <f t="shared" si="34"/>
        <v>2020/01/25</v>
      </c>
      <c r="N411" t="s">
        <v>28</v>
      </c>
    </row>
    <row r="412" spans="3:14" hidden="1" x14ac:dyDescent="0.2">
      <c r="C412" t="s">
        <v>56</v>
      </c>
      <c r="D412">
        <v>395247</v>
      </c>
      <c r="E412">
        <v>2661</v>
      </c>
      <c r="F412">
        <f t="shared" si="35"/>
        <v>13</v>
      </c>
      <c r="I412" t="s">
        <v>241</v>
      </c>
      <c r="J412" t="s">
        <v>89</v>
      </c>
      <c r="L412" t="str">
        <f t="shared" si="33"/>
        <v>2020/01/15</v>
      </c>
      <c r="M412" t="str">
        <f t="shared" si="34"/>
        <v>2020/01/28</v>
      </c>
      <c r="N412" t="s">
        <v>59</v>
      </c>
    </row>
    <row r="413" spans="3:14" x14ac:dyDescent="0.2">
      <c r="C413" t="s">
        <v>6</v>
      </c>
      <c r="D413">
        <v>783180</v>
      </c>
      <c r="E413">
        <v>952</v>
      </c>
      <c r="F413">
        <f t="shared" si="35"/>
        <v>63</v>
      </c>
      <c r="I413" t="s">
        <v>18</v>
      </c>
      <c r="J413" t="s">
        <v>15</v>
      </c>
      <c r="L413" t="str">
        <f t="shared" si="33"/>
        <v>2020/01/29</v>
      </c>
      <c r="M413" t="str">
        <f t="shared" si="34"/>
        <v>2020/04/01</v>
      </c>
      <c r="N413" t="s">
        <v>9</v>
      </c>
    </row>
    <row r="414" spans="3:14" x14ac:dyDescent="0.2">
      <c r="C414" t="s">
        <v>6</v>
      </c>
      <c r="D414">
        <v>1043530</v>
      </c>
      <c r="E414">
        <v>1318</v>
      </c>
      <c r="F414">
        <f t="shared" si="35"/>
        <v>63</v>
      </c>
      <c r="I414" t="s">
        <v>18</v>
      </c>
      <c r="J414" t="s">
        <v>15</v>
      </c>
      <c r="L414" t="str">
        <f t="shared" si="33"/>
        <v>2020/01/29</v>
      </c>
      <c r="M414" t="str">
        <f t="shared" si="34"/>
        <v>2020/04/01</v>
      </c>
      <c r="N414" t="s">
        <v>9</v>
      </c>
    </row>
    <row r="415" spans="3:14" hidden="1" x14ac:dyDescent="0.2">
      <c r="C415" t="s">
        <v>6</v>
      </c>
      <c r="D415">
        <v>25</v>
      </c>
      <c r="E415">
        <v>0</v>
      </c>
      <c r="I415" t="s">
        <v>283</v>
      </c>
      <c r="L415" t="str">
        <f t="shared" si="33"/>
        <v>2020/02/12</v>
      </c>
      <c r="M415" t="e">
        <f t="shared" si="34"/>
        <v>#VALUE!</v>
      </c>
      <c r="N415" t="s">
        <v>9</v>
      </c>
    </row>
    <row r="416" spans="3:14" x14ac:dyDescent="0.2">
      <c r="C416" t="s">
        <v>6</v>
      </c>
      <c r="D416">
        <v>321934</v>
      </c>
      <c r="E416">
        <v>3095</v>
      </c>
      <c r="F416">
        <f>M416-L416</f>
        <v>6</v>
      </c>
      <c r="I416" t="s">
        <v>284</v>
      </c>
      <c r="J416" t="s">
        <v>150</v>
      </c>
      <c r="L416" t="str">
        <f t="shared" si="33"/>
        <v>2020/01/23</v>
      </c>
      <c r="M416" t="str">
        <f t="shared" si="34"/>
        <v>2020/01/29</v>
      </c>
      <c r="N416" t="s">
        <v>9</v>
      </c>
    </row>
    <row r="417" spans="3:14" x14ac:dyDescent="0.2">
      <c r="C417" t="s">
        <v>6</v>
      </c>
      <c r="D417">
        <v>275338</v>
      </c>
      <c r="E417">
        <v>176</v>
      </c>
      <c r="F417">
        <f>M417-L417</f>
        <v>9</v>
      </c>
      <c r="I417" t="s">
        <v>285</v>
      </c>
      <c r="J417" t="s">
        <v>286</v>
      </c>
      <c r="L417" t="str">
        <f t="shared" si="33"/>
        <v>2020/02/20</v>
      </c>
      <c r="M417" t="str">
        <f t="shared" si="34"/>
        <v>2020/02/29</v>
      </c>
      <c r="N417" t="s">
        <v>9</v>
      </c>
    </row>
    <row r="418" spans="3:14" hidden="1" x14ac:dyDescent="0.2">
      <c r="C418" t="s">
        <v>10</v>
      </c>
      <c r="D418">
        <v>122397</v>
      </c>
      <c r="E418">
        <v>266</v>
      </c>
      <c r="F418">
        <f>M418-L418</f>
        <v>4</v>
      </c>
      <c r="I418" t="s">
        <v>287</v>
      </c>
      <c r="J418" t="s">
        <v>288</v>
      </c>
      <c r="L418" t="str">
        <f t="shared" si="33"/>
        <v>2020/01/02</v>
      </c>
      <c r="M418" t="str">
        <f t="shared" si="34"/>
        <v>2020/01/06</v>
      </c>
      <c r="N418" t="s">
        <v>187</v>
      </c>
    </row>
    <row r="419" spans="3:14" hidden="1" x14ac:dyDescent="0.2">
      <c r="C419" t="s">
        <v>6</v>
      </c>
      <c r="D419">
        <v>76907</v>
      </c>
      <c r="E419">
        <v>114</v>
      </c>
      <c r="I419" t="s">
        <v>289</v>
      </c>
      <c r="L419" t="str">
        <f t="shared" si="33"/>
        <v>2020/01/04</v>
      </c>
      <c r="M419" t="e">
        <f t="shared" si="34"/>
        <v>#VALUE!</v>
      </c>
      <c r="N419" t="s">
        <v>9</v>
      </c>
    </row>
    <row r="420" spans="3:14" x14ac:dyDescent="0.2">
      <c r="C420" t="s">
        <v>6</v>
      </c>
      <c r="D420">
        <v>456619</v>
      </c>
      <c r="E420">
        <v>971</v>
      </c>
      <c r="F420">
        <f t="shared" ref="F420:F426" si="36">M420-L420</f>
        <v>63</v>
      </c>
      <c r="I420" t="s">
        <v>18</v>
      </c>
      <c r="J420" t="s">
        <v>15</v>
      </c>
      <c r="L420" t="str">
        <f t="shared" si="33"/>
        <v>2020/01/29</v>
      </c>
      <c r="M420" t="str">
        <f t="shared" si="34"/>
        <v>2020/04/01</v>
      </c>
      <c r="N420" t="s">
        <v>9</v>
      </c>
    </row>
    <row r="421" spans="3:14" hidden="1" x14ac:dyDescent="0.2">
      <c r="C421" t="s">
        <v>39</v>
      </c>
      <c r="D421">
        <v>177566</v>
      </c>
      <c r="E421">
        <v>315</v>
      </c>
      <c r="F421">
        <f t="shared" si="36"/>
        <v>63</v>
      </c>
      <c r="I421" t="s">
        <v>174</v>
      </c>
      <c r="J421" t="s">
        <v>175</v>
      </c>
      <c r="L421" t="str">
        <f t="shared" si="33"/>
        <v>2020/01/20</v>
      </c>
      <c r="M421" t="str">
        <f t="shared" si="34"/>
        <v>2020/03/23</v>
      </c>
      <c r="N421" t="s">
        <v>41</v>
      </c>
    </row>
    <row r="422" spans="3:14" x14ac:dyDescent="0.2">
      <c r="C422" t="s">
        <v>6</v>
      </c>
      <c r="D422">
        <v>2525589</v>
      </c>
      <c r="E422">
        <v>1000</v>
      </c>
      <c r="F422">
        <f t="shared" si="36"/>
        <v>6</v>
      </c>
      <c r="I422" t="s">
        <v>290</v>
      </c>
      <c r="J422" t="s">
        <v>291</v>
      </c>
      <c r="L422" t="str">
        <f t="shared" si="33"/>
        <v>2020/01/25</v>
      </c>
      <c r="M422" t="str">
        <f t="shared" si="34"/>
        <v>2020/01/31</v>
      </c>
      <c r="N422" t="s">
        <v>9</v>
      </c>
    </row>
    <row r="423" spans="3:14" hidden="1" x14ac:dyDescent="0.2">
      <c r="C423" t="s">
        <v>10</v>
      </c>
      <c r="D423">
        <v>43500</v>
      </c>
      <c r="E423">
        <v>22</v>
      </c>
      <c r="F423">
        <f t="shared" si="36"/>
        <v>4</v>
      </c>
      <c r="I423" t="s">
        <v>53</v>
      </c>
      <c r="J423" t="s">
        <v>54</v>
      </c>
      <c r="L423" t="str">
        <f t="shared" si="33"/>
        <v>2020/01/17</v>
      </c>
      <c r="M423" t="str">
        <f t="shared" si="34"/>
        <v>2020/01/21</v>
      </c>
      <c r="N423" t="s">
        <v>28</v>
      </c>
    </row>
    <row r="424" spans="3:14" x14ac:dyDescent="0.2">
      <c r="C424" t="s">
        <v>6</v>
      </c>
      <c r="D424">
        <v>66953</v>
      </c>
      <c r="E424">
        <v>129</v>
      </c>
      <c r="F424">
        <f t="shared" si="36"/>
        <v>12</v>
      </c>
      <c r="I424" t="s">
        <v>19</v>
      </c>
      <c r="J424" t="s">
        <v>20</v>
      </c>
      <c r="L424" t="str">
        <f t="shared" si="33"/>
        <v>2020/01/23</v>
      </c>
      <c r="M424" t="str">
        <f t="shared" si="34"/>
        <v>2020/02/04</v>
      </c>
      <c r="N424" t="s">
        <v>9</v>
      </c>
    </row>
    <row r="425" spans="3:14" x14ac:dyDescent="0.2">
      <c r="C425" t="s">
        <v>6</v>
      </c>
      <c r="D425">
        <v>46029</v>
      </c>
      <c r="E425">
        <v>473</v>
      </c>
      <c r="F425">
        <f t="shared" si="36"/>
        <v>4</v>
      </c>
      <c r="I425" t="s">
        <v>37</v>
      </c>
      <c r="J425" t="s">
        <v>38</v>
      </c>
      <c r="L425" t="str">
        <f t="shared" si="33"/>
        <v>2020/02/07</v>
      </c>
      <c r="M425" t="str">
        <f t="shared" si="34"/>
        <v>2020/02/11</v>
      </c>
      <c r="N425" t="s">
        <v>9</v>
      </c>
    </row>
    <row r="426" spans="3:14" x14ac:dyDescent="0.2">
      <c r="C426" t="s">
        <v>6</v>
      </c>
      <c r="D426">
        <v>30938595</v>
      </c>
      <c r="E426">
        <v>75000</v>
      </c>
      <c r="F426">
        <f t="shared" si="36"/>
        <v>3</v>
      </c>
      <c r="I426" t="s">
        <v>292</v>
      </c>
      <c r="J426" t="s">
        <v>293</v>
      </c>
      <c r="L426" t="str">
        <f t="shared" si="33"/>
        <v>2020/02/02</v>
      </c>
      <c r="M426" t="str">
        <f t="shared" si="34"/>
        <v>2020/02/05</v>
      </c>
      <c r="N426" t="s">
        <v>9</v>
      </c>
    </row>
    <row r="427" spans="3:14" hidden="1" x14ac:dyDescent="0.2">
      <c r="C427" t="s">
        <v>6</v>
      </c>
      <c r="D427">
        <v>5914157</v>
      </c>
      <c r="E427">
        <v>6166</v>
      </c>
      <c r="I427" t="s">
        <v>289</v>
      </c>
      <c r="L427" t="str">
        <f t="shared" si="33"/>
        <v>2020/01/04</v>
      </c>
      <c r="M427" t="e">
        <f t="shared" si="34"/>
        <v>#VALUE!</v>
      </c>
      <c r="N427" t="s">
        <v>9</v>
      </c>
    </row>
    <row r="428" spans="3:14" x14ac:dyDescent="0.2">
      <c r="C428" t="s">
        <v>6</v>
      </c>
      <c r="D428">
        <v>1064823</v>
      </c>
      <c r="E428">
        <v>2755</v>
      </c>
      <c r="F428">
        <f>M428-L428</f>
        <v>24</v>
      </c>
      <c r="I428" t="s">
        <v>51</v>
      </c>
      <c r="J428" t="s">
        <v>52</v>
      </c>
      <c r="L428" t="str">
        <f t="shared" si="33"/>
        <v>2020/02/06</v>
      </c>
      <c r="M428" t="str">
        <f t="shared" si="34"/>
        <v>2020/03/01</v>
      </c>
      <c r="N428" t="s">
        <v>9</v>
      </c>
    </row>
    <row r="429" spans="3:14" hidden="1" x14ac:dyDescent="0.2">
      <c r="C429" t="s">
        <v>6</v>
      </c>
      <c r="D429">
        <v>5978</v>
      </c>
      <c r="E429">
        <v>12</v>
      </c>
      <c r="I429" t="s">
        <v>294</v>
      </c>
      <c r="L429" t="str">
        <f t="shared" si="33"/>
        <v>2020/02/18</v>
      </c>
      <c r="M429" t="e">
        <f t="shared" si="34"/>
        <v>#VALUE!</v>
      </c>
      <c r="N429" t="s">
        <v>9</v>
      </c>
    </row>
    <row r="430" spans="3:14" hidden="1" x14ac:dyDescent="0.2">
      <c r="C430" t="s">
        <v>10</v>
      </c>
      <c r="D430">
        <v>442</v>
      </c>
      <c r="E430">
        <v>0</v>
      </c>
      <c r="I430" t="s">
        <v>27</v>
      </c>
      <c r="L430" t="str">
        <f t="shared" si="33"/>
        <v>2020/01/17</v>
      </c>
      <c r="M430" t="e">
        <f t="shared" si="34"/>
        <v>#VALUE!</v>
      </c>
      <c r="N430" t="s">
        <v>28</v>
      </c>
    </row>
    <row r="431" spans="3:14" x14ac:dyDescent="0.2">
      <c r="C431" t="s">
        <v>6</v>
      </c>
      <c r="D431">
        <v>52370</v>
      </c>
      <c r="E431">
        <v>84</v>
      </c>
      <c r="F431">
        <f>M431-L431</f>
        <v>7</v>
      </c>
      <c r="I431" t="s">
        <v>125</v>
      </c>
      <c r="J431" t="s">
        <v>126</v>
      </c>
      <c r="L431" t="str">
        <f t="shared" si="33"/>
        <v>2020/01/23</v>
      </c>
      <c r="M431" t="str">
        <f t="shared" si="34"/>
        <v>2020/01/30</v>
      </c>
      <c r="N431" t="s">
        <v>9</v>
      </c>
    </row>
    <row r="432" spans="3:14" hidden="1" x14ac:dyDescent="0.2">
      <c r="C432" t="s">
        <v>56</v>
      </c>
      <c r="D432">
        <v>419584</v>
      </c>
      <c r="E432">
        <v>2771</v>
      </c>
      <c r="F432">
        <f>M432-L432</f>
        <v>13</v>
      </c>
      <c r="I432" t="s">
        <v>241</v>
      </c>
      <c r="J432" t="s">
        <v>89</v>
      </c>
      <c r="L432" t="str">
        <f t="shared" si="33"/>
        <v>2020/01/15</v>
      </c>
      <c r="M432" t="str">
        <f t="shared" si="34"/>
        <v>2020/01/28</v>
      </c>
      <c r="N432" t="s">
        <v>59</v>
      </c>
    </row>
    <row r="433" spans="3:14" x14ac:dyDescent="0.2">
      <c r="C433" t="s">
        <v>6</v>
      </c>
      <c r="D433">
        <v>267392</v>
      </c>
      <c r="E433">
        <v>468</v>
      </c>
      <c r="F433">
        <f>M433-L433</f>
        <v>32</v>
      </c>
      <c r="I433" t="s">
        <v>72</v>
      </c>
      <c r="J433" t="s">
        <v>104</v>
      </c>
      <c r="L433" t="str">
        <f t="shared" si="33"/>
        <v>2020/01/03</v>
      </c>
      <c r="M433" t="str">
        <f t="shared" si="34"/>
        <v>2020/02/04</v>
      </c>
      <c r="N433" t="s">
        <v>9</v>
      </c>
    </row>
    <row r="434" spans="3:14" hidden="1" x14ac:dyDescent="0.2">
      <c r="C434" t="s">
        <v>10</v>
      </c>
      <c r="D434">
        <v>142420</v>
      </c>
      <c r="E434">
        <v>486</v>
      </c>
      <c r="F434">
        <f>M434-L434</f>
        <v>17</v>
      </c>
      <c r="I434" t="s">
        <v>95</v>
      </c>
      <c r="J434" t="s">
        <v>96</v>
      </c>
      <c r="L434" t="str">
        <f t="shared" si="33"/>
        <v>2020/01/08</v>
      </c>
      <c r="M434" t="str">
        <f t="shared" si="34"/>
        <v>2020/01/25</v>
      </c>
      <c r="N434" t="s">
        <v>87</v>
      </c>
    </row>
    <row r="435" spans="3:14" hidden="1" x14ac:dyDescent="0.2">
      <c r="C435" t="s">
        <v>6</v>
      </c>
      <c r="D435">
        <v>305110</v>
      </c>
      <c r="E435">
        <v>124</v>
      </c>
      <c r="I435" t="s">
        <v>295</v>
      </c>
      <c r="L435" t="str">
        <f t="shared" si="33"/>
        <v>2020/01/14</v>
      </c>
      <c r="M435" t="e">
        <f t="shared" si="34"/>
        <v>#VALUE!</v>
      </c>
      <c r="N435" t="s">
        <v>9</v>
      </c>
    </row>
    <row r="436" spans="3:14" x14ac:dyDescent="0.2">
      <c r="C436" t="s">
        <v>6</v>
      </c>
      <c r="D436">
        <v>171264</v>
      </c>
      <c r="E436">
        <v>155</v>
      </c>
      <c r="F436">
        <f t="shared" ref="F436:F457" si="37">M436-L436</f>
        <v>24</v>
      </c>
      <c r="I436" t="s">
        <v>296</v>
      </c>
      <c r="J436" t="s">
        <v>297</v>
      </c>
      <c r="L436" t="str">
        <f t="shared" si="33"/>
        <v>2020/02/18</v>
      </c>
      <c r="M436" t="str">
        <f t="shared" si="34"/>
        <v>2020/03/13</v>
      </c>
      <c r="N436" t="s">
        <v>9</v>
      </c>
    </row>
    <row r="437" spans="3:14" x14ac:dyDescent="0.2">
      <c r="C437" t="s">
        <v>6</v>
      </c>
      <c r="D437">
        <v>37242</v>
      </c>
      <c r="E437">
        <v>42</v>
      </c>
      <c r="F437">
        <f t="shared" si="37"/>
        <v>26</v>
      </c>
      <c r="I437" t="s">
        <v>81</v>
      </c>
      <c r="J437" t="s">
        <v>82</v>
      </c>
      <c r="L437" t="str">
        <f t="shared" si="33"/>
        <v>2020/01/06</v>
      </c>
      <c r="M437" t="str">
        <f t="shared" si="34"/>
        <v>2020/02/01</v>
      </c>
      <c r="N437" t="s">
        <v>9</v>
      </c>
    </row>
    <row r="438" spans="3:14" x14ac:dyDescent="0.2">
      <c r="C438" t="s">
        <v>6</v>
      </c>
      <c r="D438">
        <v>640980</v>
      </c>
      <c r="E438">
        <v>6142</v>
      </c>
      <c r="F438">
        <f t="shared" si="37"/>
        <v>63</v>
      </c>
      <c r="I438" t="s">
        <v>18</v>
      </c>
      <c r="J438" t="s">
        <v>15</v>
      </c>
      <c r="L438" t="str">
        <f t="shared" si="33"/>
        <v>2020/01/29</v>
      </c>
      <c r="M438" t="str">
        <f t="shared" si="34"/>
        <v>2020/04/01</v>
      </c>
      <c r="N438" t="s">
        <v>9</v>
      </c>
    </row>
    <row r="439" spans="3:14" x14ac:dyDescent="0.2">
      <c r="C439" t="s">
        <v>6</v>
      </c>
      <c r="D439">
        <v>39278</v>
      </c>
      <c r="E439">
        <v>69</v>
      </c>
      <c r="F439">
        <f t="shared" si="37"/>
        <v>226</v>
      </c>
      <c r="I439" t="s">
        <v>21</v>
      </c>
      <c r="J439" t="s">
        <v>22</v>
      </c>
      <c r="L439" t="str">
        <f t="shared" si="33"/>
        <v>2019/10/18</v>
      </c>
      <c r="M439" t="str">
        <f t="shared" si="34"/>
        <v>2020/05/31</v>
      </c>
      <c r="N439" t="s">
        <v>9</v>
      </c>
    </row>
    <row r="440" spans="3:14" x14ac:dyDescent="0.2">
      <c r="C440" t="s">
        <v>6</v>
      </c>
      <c r="D440">
        <v>1438134</v>
      </c>
      <c r="E440">
        <v>3376</v>
      </c>
      <c r="F440">
        <f t="shared" si="37"/>
        <v>51</v>
      </c>
      <c r="I440" t="s">
        <v>14</v>
      </c>
      <c r="J440" t="s">
        <v>115</v>
      </c>
      <c r="L440" t="str">
        <f t="shared" si="33"/>
        <v>2020/01/08</v>
      </c>
      <c r="M440" t="str">
        <f t="shared" si="34"/>
        <v>2020/02/28</v>
      </c>
      <c r="N440" t="s">
        <v>9</v>
      </c>
    </row>
    <row r="441" spans="3:14" x14ac:dyDescent="0.2">
      <c r="C441" t="s">
        <v>6</v>
      </c>
      <c r="D441">
        <v>54483</v>
      </c>
      <c r="E441">
        <v>118</v>
      </c>
      <c r="F441">
        <f t="shared" si="37"/>
        <v>226</v>
      </c>
      <c r="I441" t="s">
        <v>21</v>
      </c>
      <c r="J441" t="s">
        <v>22</v>
      </c>
      <c r="L441" t="str">
        <f t="shared" si="33"/>
        <v>2019/10/18</v>
      </c>
      <c r="M441" t="str">
        <f t="shared" si="34"/>
        <v>2020/05/31</v>
      </c>
      <c r="N441" t="s">
        <v>9</v>
      </c>
    </row>
    <row r="442" spans="3:14" x14ac:dyDescent="0.2">
      <c r="C442" t="s">
        <v>6</v>
      </c>
      <c r="D442">
        <v>34071</v>
      </c>
      <c r="E442">
        <v>299</v>
      </c>
      <c r="F442">
        <f t="shared" si="37"/>
        <v>27</v>
      </c>
      <c r="I442" t="s">
        <v>31</v>
      </c>
      <c r="J442" t="s">
        <v>24</v>
      </c>
      <c r="L442" t="str">
        <f t="shared" si="33"/>
        <v>2020/02/06</v>
      </c>
      <c r="M442" t="str">
        <f t="shared" si="34"/>
        <v>2020/03/04</v>
      </c>
      <c r="N442" t="s">
        <v>9</v>
      </c>
    </row>
    <row r="443" spans="3:14" x14ac:dyDescent="0.2">
      <c r="C443" t="s">
        <v>6</v>
      </c>
      <c r="D443">
        <v>59492</v>
      </c>
      <c r="E443">
        <v>150</v>
      </c>
      <c r="F443">
        <f t="shared" si="37"/>
        <v>7</v>
      </c>
      <c r="I443" t="s">
        <v>298</v>
      </c>
      <c r="J443" t="s">
        <v>299</v>
      </c>
      <c r="L443" t="str">
        <f t="shared" si="33"/>
        <v>2020/02/04</v>
      </c>
      <c r="M443" t="str">
        <f t="shared" si="34"/>
        <v>2020/02/11</v>
      </c>
      <c r="N443" t="s">
        <v>9</v>
      </c>
    </row>
    <row r="444" spans="3:14" x14ac:dyDescent="0.2">
      <c r="C444" t="s">
        <v>6</v>
      </c>
      <c r="D444">
        <v>15555</v>
      </c>
      <c r="E444">
        <v>59</v>
      </c>
      <c r="F444">
        <f t="shared" si="37"/>
        <v>12</v>
      </c>
      <c r="I444" t="s">
        <v>23</v>
      </c>
      <c r="J444" t="s">
        <v>24</v>
      </c>
      <c r="L444" t="str">
        <f t="shared" si="33"/>
        <v>2020/02/21</v>
      </c>
      <c r="M444" t="str">
        <f t="shared" si="34"/>
        <v>2020/03/04</v>
      </c>
      <c r="N444" t="s">
        <v>9</v>
      </c>
    </row>
    <row r="445" spans="3:14" x14ac:dyDescent="0.2">
      <c r="C445" t="s">
        <v>6</v>
      </c>
      <c r="D445">
        <v>452486</v>
      </c>
      <c r="E445">
        <v>1520</v>
      </c>
      <c r="F445">
        <f t="shared" si="37"/>
        <v>86</v>
      </c>
      <c r="I445" t="s">
        <v>201</v>
      </c>
      <c r="J445" t="s">
        <v>202</v>
      </c>
      <c r="L445" t="str">
        <f t="shared" si="33"/>
        <v>2019/11/06</v>
      </c>
      <c r="M445" t="str">
        <f t="shared" si="34"/>
        <v>2020/01/31</v>
      </c>
      <c r="N445" t="s">
        <v>9</v>
      </c>
    </row>
    <row r="446" spans="3:14" x14ac:dyDescent="0.2">
      <c r="C446" t="s">
        <v>6</v>
      </c>
      <c r="D446">
        <v>59602</v>
      </c>
      <c r="E446">
        <v>137</v>
      </c>
      <c r="F446">
        <f t="shared" si="37"/>
        <v>28</v>
      </c>
      <c r="I446" t="s">
        <v>300</v>
      </c>
      <c r="J446" t="s">
        <v>301</v>
      </c>
      <c r="L446" t="str">
        <f t="shared" si="33"/>
        <v>2020/01/15</v>
      </c>
      <c r="M446" t="str">
        <f t="shared" si="34"/>
        <v>2020/02/12</v>
      </c>
      <c r="N446" t="s">
        <v>9</v>
      </c>
    </row>
    <row r="447" spans="3:14" x14ac:dyDescent="0.2">
      <c r="C447" t="s">
        <v>6</v>
      </c>
      <c r="D447">
        <v>488233</v>
      </c>
      <c r="E447">
        <v>1247</v>
      </c>
      <c r="F447">
        <f t="shared" si="37"/>
        <v>29</v>
      </c>
      <c r="I447" t="s">
        <v>170</v>
      </c>
      <c r="J447" t="s">
        <v>171</v>
      </c>
      <c r="L447" t="str">
        <f t="shared" si="33"/>
        <v>2020/02/01</v>
      </c>
      <c r="M447" t="str">
        <f t="shared" si="34"/>
        <v>2020/03/01</v>
      </c>
      <c r="N447" t="s">
        <v>9</v>
      </c>
    </row>
    <row r="448" spans="3:14" hidden="1" x14ac:dyDescent="0.2">
      <c r="C448" t="s">
        <v>39</v>
      </c>
      <c r="D448">
        <v>5102828</v>
      </c>
      <c r="E448">
        <v>12545</v>
      </c>
      <c r="F448">
        <f t="shared" si="37"/>
        <v>343</v>
      </c>
      <c r="I448" t="s">
        <v>83</v>
      </c>
      <c r="J448" t="s">
        <v>84</v>
      </c>
      <c r="L448" t="str">
        <f t="shared" si="33"/>
        <v>2020/01/24</v>
      </c>
      <c r="M448" t="str">
        <f t="shared" si="34"/>
        <v>2021/01/01</v>
      </c>
      <c r="N448" t="s">
        <v>41</v>
      </c>
    </row>
    <row r="449" spans="3:14" x14ac:dyDescent="0.2">
      <c r="C449" t="s">
        <v>6</v>
      </c>
      <c r="D449">
        <v>106227</v>
      </c>
      <c r="E449">
        <v>183</v>
      </c>
      <c r="F449">
        <f t="shared" si="37"/>
        <v>40</v>
      </c>
      <c r="I449" t="s">
        <v>72</v>
      </c>
      <c r="J449" t="s">
        <v>73</v>
      </c>
      <c r="L449" t="str">
        <f t="shared" si="33"/>
        <v>2020/01/03</v>
      </c>
      <c r="M449" t="str">
        <f t="shared" si="34"/>
        <v>2020/02/12</v>
      </c>
      <c r="N449" t="s">
        <v>9</v>
      </c>
    </row>
    <row r="450" spans="3:14" x14ac:dyDescent="0.2">
      <c r="C450" t="s">
        <v>6</v>
      </c>
      <c r="D450">
        <v>48361</v>
      </c>
      <c r="E450">
        <v>498</v>
      </c>
      <c r="F450">
        <f t="shared" si="37"/>
        <v>4</v>
      </c>
      <c r="I450" t="s">
        <v>37</v>
      </c>
      <c r="J450" t="s">
        <v>38</v>
      </c>
      <c r="L450" t="str">
        <f t="shared" si="33"/>
        <v>2020/02/07</v>
      </c>
      <c r="M450" t="str">
        <f t="shared" si="34"/>
        <v>2020/02/11</v>
      </c>
      <c r="N450" t="s">
        <v>9</v>
      </c>
    </row>
    <row r="451" spans="3:14" x14ac:dyDescent="0.2">
      <c r="C451" t="s">
        <v>6</v>
      </c>
      <c r="D451">
        <v>52390</v>
      </c>
      <c r="E451">
        <v>84</v>
      </c>
      <c r="F451">
        <f t="shared" si="37"/>
        <v>7</v>
      </c>
      <c r="I451" t="s">
        <v>125</v>
      </c>
      <c r="J451" t="s">
        <v>126</v>
      </c>
      <c r="L451" t="str">
        <f t="shared" ref="L451:L514" si="38">LEFT(I451,FIND(" ",I451)-1)</f>
        <v>2020/01/23</v>
      </c>
      <c r="M451" t="str">
        <f t="shared" ref="M451:M514" si="39">LEFT(J451,FIND(" ",J451)-1)</f>
        <v>2020/01/30</v>
      </c>
      <c r="N451" t="s">
        <v>9</v>
      </c>
    </row>
    <row r="452" spans="3:14" x14ac:dyDescent="0.2">
      <c r="C452" t="s">
        <v>6</v>
      </c>
      <c r="D452">
        <v>637774</v>
      </c>
      <c r="E452">
        <v>1714</v>
      </c>
      <c r="F452">
        <f t="shared" si="37"/>
        <v>32</v>
      </c>
      <c r="I452" t="s">
        <v>72</v>
      </c>
      <c r="J452" t="s">
        <v>104</v>
      </c>
      <c r="L452" t="str">
        <f t="shared" si="38"/>
        <v>2020/01/03</v>
      </c>
      <c r="M452" t="str">
        <f t="shared" si="39"/>
        <v>2020/02/04</v>
      </c>
      <c r="N452" t="s">
        <v>9</v>
      </c>
    </row>
    <row r="453" spans="3:14" hidden="1" x14ac:dyDescent="0.2">
      <c r="C453" t="s">
        <v>56</v>
      </c>
      <c r="D453">
        <v>8527</v>
      </c>
      <c r="E453">
        <v>7</v>
      </c>
      <c r="F453">
        <f t="shared" si="37"/>
        <v>41</v>
      </c>
      <c r="I453" t="s">
        <v>57</v>
      </c>
      <c r="J453" t="s">
        <v>58</v>
      </c>
      <c r="L453" t="str">
        <f t="shared" si="38"/>
        <v>2020/01/21</v>
      </c>
      <c r="M453" t="str">
        <f t="shared" si="39"/>
        <v>2020/03/02</v>
      </c>
      <c r="N453" t="s">
        <v>59</v>
      </c>
    </row>
    <row r="454" spans="3:14" x14ac:dyDescent="0.2">
      <c r="C454" t="s">
        <v>6</v>
      </c>
      <c r="D454">
        <v>1018289</v>
      </c>
      <c r="E454">
        <v>4103</v>
      </c>
      <c r="F454">
        <f t="shared" si="37"/>
        <v>6</v>
      </c>
      <c r="I454" t="s">
        <v>284</v>
      </c>
      <c r="J454" t="s">
        <v>150</v>
      </c>
      <c r="L454" t="str">
        <f t="shared" si="38"/>
        <v>2020/01/23</v>
      </c>
      <c r="M454" t="str">
        <f t="shared" si="39"/>
        <v>2020/01/29</v>
      </c>
      <c r="N454" t="s">
        <v>9</v>
      </c>
    </row>
    <row r="455" spans="3:14" hidden="1" x14ac:dyDescent="0.2">
      <c r="C455" t="s">
        <v>56</v>
      </c>
      <c r="D455">
        <v>37088</v>
      </c>
      <c r="E455">
        <v>55</v>
      </c>
      <c r="F455">
        <f t="shared" si="37"/>
        <v>8</v>
      </c>
      <c r="I455" t="s">
        <v>97</v>
      </c>
      <c r="J455" t="s">
        <v>239</v>
      </c>
      <c r="L455" t="str">
        <f t="shared" si="38"/>
        <v>2020/01/20</v>
      </c>
      <c r="M455" t="str">
        <f t="shared" si="39"/>
        <v>2020/01/28</v>
      </c>
      <c r="N455" t="s">
        <v>59</v>
      </c>
    </row>
    <row r="456" spans="3:14" x14ac:dyDescent="0.2">
      <c r="C456" t="s">
        <v>6</v>
      </c>
      <c r="D456">
        <v>601747</v>
      </c>
      <c r="E456">
        <v>2071</v>
      </c>
      <c r="F456">
        <f t="shared" si="37"/>
        <v>31</v>
      </c>
      <c r="I456" t="s">
        <v>45</v>
      </c>
      <c r="J456" t="s">
        <v>46</v>
      </c>
      <c r="L456" t="str">
        <f t="shared" si="38"/>
        <v>2020/01/01</v>
      </c>
      <c r="M456" t="str">
        <f t="shared" si="39"/>
        <v>2020/02/01</v>
      </c>
      <c r="N456" t="s">
        <v>9</v>
      </c>
    </row>
    <row r="457" spans="3:14" x14ac:dyDescent="0.2">
      <c r="C457" t="s">
        <v>6</v>
      </c>
      <c r="D457">
        <v>6860837</v>
      </c>
      <c r="E457">
        <v>7803</v>
      </c>
      <c r="F457">
        <f t="shared" si="37"/>
        <v>63</v>
      </c>
      <c r="I457" t="s">
        <v>18</v>
      </c>
      <c r="J457" t="s">
        <v>15</v>
      </c>
      <c r="L457" t="str">
        <f t="shared" si="38"/>
        <v>2020/01/29</v>
      </c>
      <c r="M457" t="str">
        <f t="shared" si="39"/>
        <v>2020/04/01</v>
      </c>
      <c r="N457" t="s">
        <v>9</v>
      </c>
    </row>
    <row r="458" spans="3:14" hidden="1" x14ac:dyDescent="0.2">
      <c r="C458" t="s">
        <v>6</v>
      </c>
      <c r="D458">
        <v>17666</v>
      </c>
      <c r="E458">
        <v>51</v>
      </c>
      <c r="I458" t="s">
        <v>110</v>
      </c>
      <c r="L458" t="str">
        <f t="shared" si="38"/>
        <v>2020/02/03</v>
      </c>
      <c r="M458" t="e">
        <f t="shared" si="39"/>
        <v>#VALUE!</v>
      </c>
      <c r="N458" t="s">
        <v>9</v>
      </c>
    </row>
    <row r="459" spans="3:14" x14ac:dyDescent="0.2">
      <c r="C459" t="s">
        <v>6</v>
      </c>
      <c r="D459">
        <v>951631</v>
      </c>
      <c r="E459">
        <v>9080</v>
      </c>
      <c r="F459">
        <f>M459-L459</f>
        <v>63</v>
      </c>
      <c r="I459" t="s">
        <v>18</v>
      </c>
      <c r="J459" t="s">
        <v>15</v>
      </c>
      <c r="L459" t="str">
        <f t="shared" si="38"/>
        <v>2020/01/29</v>
      </c>
      <c r="M459" t="str">
        <f t="shared" si="39"/>
        <v>2020/04/01</v>
      </c>
      <c r="N459" t="s">
        <v>9</v>
      </c>
    </row>
    <row r="460" spans="3:14" hidden="1" x14ac:dyDescent="0.2">
      <c r="C460" t="s">
        <v>6</v>
      </c>
      <c r="D460">
        <v>46198</v>
      </c>
      <c r="E460">
        <v>98</v>
      </c>
      <c r="I460" t="s">
        <v>302</v>
      </c>
      <c r="L460" t="str">
        <f t="shared" si="38"/>
        <v>2020/02/19</v>
      </c>
      <c r="M460" t="e">
        <f t="shared" si="39"/>
        <v>#VALUE!</v>
      </c>
      <c r="N460" t="s">
        <v>9</v>
      </c>
    </row>
    <row r="461" spans="3:14" hidden="1" x14ac:dyDescent="0.2">
      <c r="C461" t="s">
        <v>127</v>
      </c>
      <c r="D461">
        <v>5541</v>
      </c>
      <c r="E461">
        <v>36</v>
      </c>
      <c r="F461">
        <f>M461-L461</f>
        <v>6</v>
      </c>
      <c r="I461" t="s">
        <v>166</v>
      </c>
      <c r="J461" t="s">
        <v>303</v>
      </c>
      <c r="L461" t="str">
        <f t="shared" si="38"/>
        <v>2020/02/16</v>
      </c>
      <c r="M461" t="str">
        <f t="shared" si="39"/>
        <v>2020/02/22</v>
      </c>
      <c r="N461" t="s">
        <v>130</v>
      </c>
    </row>
    <row r="462" spans="3:14" hidden="1" x14ac:dyDescent="0.2">
      <c r="C462" t="s">
        <v>6</v>
      </c>
      <c r="D462">
        <v>728626</v>
      </c>
      <c r="E462">
        <v>795</v>
      </c>
      <c r="I462" t="s">
        <v>304</v>
      </c>
      <c r="L462" t="str">
        <f t="shared" si="38"/>
        <v>2020/02/07</v>
      </c>
      <c r="M462" t="e">
        <f t="shared" si="39"/>
        <v>#VALUE!</v>
      </c>
      <c r="N462" t="s">
        <v>9</v>
      </c>
    </row>
    <row r="463" spans="3:14" x14ac:dyDescent="0.2">
      <c r="C463" t="s">
        <v>6</v>
      </c>
      <c r="D463">
        <v>2</v>
      </c>
      <c r="E463">
        <v>0</v>
      </c>
      <c r="F463">
        <f>M463-L463</f>
        <v>10</v>
      </c>
      <c r="I463" t="s">
        <v>133</v>
      </c>
      <c r="J463" t="s">
        <v>134</v>
      </c>
      <c r="L463" t="str">
        <f t="shared" si="38"/>
        <v>2020/02/22</v>
      </c>
      <c r="M463" t="str">
        <f t="shared" si="39"/>
        <v>2020/03/03</v>
      </c>
      <c r="N463" t="s">
        <v>9</v>
      </c>
    </row>
    <row r="464" spans="3:14" hidden="1" x14ac:dyDescent="0.2">
      <c r="C464" t="s">
        <v>10</v>
      </c>
      <c r="D464">
        <v>198435</v>
      </c>
      <c r="E464">
        <v>823</v>
      </c>
      <c r="F464">
        <f>M464-L464</f>
        <v>10</v>
      </c>
      <c r="I464" t="s">
        <v>305</v>
      </c>
      <c r="J464" t="s">
        <v>272</v>
      </c>
      <c r="L464" t="str">
        <f t="shared" si="38"/>
        <v>2020/01/23</v>
      </c>
      <c r="M464" t="str">
        <f t="shared" si="39"/>
        <v>2020/02/02</v>
      </c>
      <c r="N464" t="s">
        <v>87</v>
      </c>
    </row>
    <row r="465" spans="3:14" hidden="1" x14ac:dyDescent="0.2">
      <c r="C465" t="s">
        <v>10</v>
      </c>
      <c r="D465">
        <v>230550</v>
      </c>
      <c r="E465">
        <v>504</v>
      </c>
      <c r="F465">
        <f>M465-L465</f>
        <v>4</v>
      </c>
      <c r="I465" t="s">
        <v>246</v>
      </c>
      <c r="J465" t="s">
        <v>247</v>
      </c>
      <c r="L465" t="str">
        <f t="shared" si="38"/>
        <v>2020/01/06</v>
      </c>
      <c r="M465" t="str">
        <f t="shared" si="39"/>
        <v>2020/01/10</v>
      </c>
      <c r="N465" t="s">
        <v>187</v>
      </c>
    </row>
    <row r="466" spans="3:14" hidden="1" x14ac:dyDescent="0.2">
      <c r="C466" t="s">
        <v>6</v>
      </c>
      <c r="D466">
        <v>1233314</v>
      </c>
      <c r="E466">
        <v>2299</v>
      </c>
      <c r="I466" t="s">
        <v>306</v>
      </c>
      <c r="L466" t="str">
        <f t="shared" si="38"/>
        <v>2020/02/03</v>
      </c>
      <c r="M466" t="e">
        <f t="shared" si="39"/>
        <v>#VALUE!</v>
      </c>
      <c r="N466" t="s">
        <v>9</v>
      </c>
    </row>
    <row r="467" spans="3:14" x14ac:dyDescent="0.2">
      <c r="C467" t="s">
        <v>6</v>
      </c>
      <c r="D467">
        <v>26101</v>
      </c>
      <c r="E467">
        <v>256</v>
      </c>
      <c r="F467">
        <f>M467-L467</f>
        <v>4</v>
      </c>
      <c r="I467" t="s">
        <v>37</v>
      </c>
      <c r="J467" t="s">
        <v>38</v>
      </c>
      <c r="L467" t="str">
        <f t="shared" si="38"/>
        <v>2020/02/07</v>
      </c>
      <c r="M467" t="str">
        <f t="shared" si="39"/>
        <v>2020/02/11</v>
      </c>
      <c r="N467" t="s">
        <v>9</v>
      </c>
    </row>
    <row r="468" spans="3:14" hidden="1" x14ac:dyDescent="0.2">
      <c r="C468" t="s">
        <v>6</v>
      </c>
      <c r="D468">
        <v>39109</v>
      </c>
      <c r="E468">
        <v>37</v>
      </c>
      <c r="I468" t="s">
        <v>44</v>
      </c>
      <c r="L468" t="str">
        <f t="shared" si="38"/>
        <v>2020/02/20</v>
      </c>
      <c r="M468" t="e">
        <f t="shared" si="39"/>
        <v>#VALUE!</v>
      </c>
      <c r="N468" t="s">
        <v>9</v>
      </c>
    </row>
    <row r="469" spans="3:14" x14ac:dyDescent="0.2">
      <c r="C469" t="s">
        <v>6</v>
      </c>
      <c r="D469">
        <v>204643</v>
      </c>
      <c r="E469">
        <v>509</v>
      </c>
      <c r="F469">
        <f>M469-L469</f>
        <v>17</v>
      </c>
      <c r="I469" t="s">
        <v>189</v>
      </c>
      <c r="J469" t="s">
        <v>190</v>
      </c>
      <c r="L469" t="str">
        <f t="shared" si="38"/>
        <v>2020/01/22</v>
      </c>
      <c r="M469" t="str">
        <f t="shared" si="39"/>
        <v>2020/02/08</v>
      </c>
      <c r="N469" t="s">
        <v>9</v>
      </c>
    </row>
    <row r="470" spans="3:14" x14ac:dyDescent="0.2">
      <c r="C470" t="s">
        <v>6</v>
      </c>
      <c r="D470">
        <v>19480</v>
      </c>
      <c r="E470">
        <v>53</v>
      </c>
      <c r="F470">
        <f>M470-L470</f>
        <v>-1</v>
      </c>
      <c r="I470" t="s">
        <v>307</v>
      </c>
      <c r="J470" t="s">
        <v>308</v>
      </c>
      <c r="L470" t="str">
        <f t="shared" si="38"/>
        <v>2020/02/02</v>
      </c>
      <c r="M470" t="str">
        <f t="shared" si="39"/>
        <v>2020/02/01</v>
      </c>
      <c r="N470" t="s">
        <v>9</v>
      </c>
    </row>
    <row r="471" spans="3:14" x14ac:dyDescent="0.2">
      <c r="C471" t="s">
        <v>6</v>
      </c>
      <c r="D471">
        <v>5536</v>
      </c>
      <c r="E471">
        <v>21</v>
      </c>
      <c r="F471">
        <f>M471-L471</f>
        <v>10</v>
      </c>
      <c r="I471" t="s">
        <v>140</v>
      </c>
      <c r="J471" t="s">
        <v>24</v>
      </c>
      <c r="L471" t="str">
        <f t="shared" si="38"/>
        <v>2020/02/23</v>
      </c>
      <c r="M471" t="str">
        <f t="shared" si="39"/>
        <v>2020/03/04</v>
      </c>
      <c r="N471" t="s">
        <v>9</v>
      </c>
    </row>
    <row r="472" spans="3:14" hidden="1" x14ac:dyDescent="0.2">
      <c r="C472" t="s">
        <v>10</v>
      </c>
      <c r="D472">
        <v>756</v>
      </c>
      <c r="E472">
        <v>0</v>
      </c>
      <c r="I472" t="s">
        <v>36</v>
      </c>
      <c r="L472" t="str">
        <f t="shared" si="38"/>
        <v>2020/01/17</v>
      </c>
      <c r="M472" t="e">
        <f t="shared" si="39"/>
        <v>#VALUE!</v>
      </c>
      <c r="N472" t="s">
        <v>28</v>
      </c>
    </row>
    <row r="473" spans="3:14" hidden="1" x14ac:dyDescent="0.2">
      <c r="C473" t="s">
        <v>127</v>
      </c>
      <c r="D473">
        <v>3899</v>
      </c>
      <c r="E473">
        <v>46</v>
      </c>
      <c r="F473">
        <f t="shared" ref="F473:F478" si="40">M473-L473</f>
        <v>5</v>
      </c>
      <c r="I473" t="s">
        <v>128</v>
      </c>
      <c r="J473" t="s">
        <v>129</v>
      </c>
      <c r="L473" t="str">
        <f t="shared" si="38"/>
        <v>2020/02/14</v>
      </c>
      <c r="M473" t="str">
        <f t="shared" si="39"/>
        <v>2020/02/19</v>
      </c>
      <c r="N473" t="s">
        <v>130</v>
      </c>
    </row>
    <row r="474" spans="3:14" x14ac:dyDescent="0.2">
      <c r="C474" t="s">
        <v>6</v>
      </c>
      <c r="D474">
        <v>41546</v>
      </c>
      <c r="E474">
        <v>398</v>
      </c>
      <c r="F474">
        <f t="shared" si="40"/>
        <v>287</v>
      </c>
      <c r="I474" t="s">
        <v>113</v>
      </c>
      <c r="J474" t="s">
        <v>114</v>
      </c>
      <c r="L474" t="str">
        <f t="shared" si="38"/>
        <v>2019/11/18</v>
      </c>
      <c r="M474" t="str">
        <f t="shared" si="39"/>
        <v>2020/08/31</v>
      </c>
      <c r="N474" t="s">
        <v>9</v>
      </c>
    </row>
    <row r="475" spans="3:14" x14ac:dyDescent="0.2">
      <c r="C475" t="s">
        <v>6</v>
      </c>
      <c r="D475">
        <v>189523</v>
      </c>
      <c r="E475">
        <v>513</v>
      </c>
      <c r="F475">
        <f t="shared" si="40"/>
        <v>29</v>
      </c>
      <c r="I475" t="s">
        <v>261</v>
      </c>
      <c r="J475" t="s">
        <v>52</v>
      </c>
      <c r="L475" t="str">
        <f t="shared" si="38"/>
        <v>2020/02/01</v>
      </c>
      <c r="M475" t="str">
        <f t="shared" si="39"/>
        <v>2020/03/01</v>
      </c>
      <c r="N475" t="s">
        <v>9</v>
      </c>
    </row>
    <row r="476" spans="3:14" x14ac:dyDescent="0.2">
      <c r="C476" t="s">
        <v>6</v>
      </c>
      <c r="D476">
        <v>5063771</v>
      </c>
      <c r="E476">
        <v>8631</v>
      </c>
      <c r="F476">
        <f t="shared" si="40"/>
        <v>84</v>
      </c>
      <c r="I476" t="s">
        <v>14</v>
      </c>
      <c r="J476" t="s">
        <v>15</v>
      </c>
      <c r="L476" t="str">
        <f t="shared" si="38"/>
        <v>2020/01/08</v>
      </c>
      <c r="M476" t="str">
        <f t="shared" si="39"/>
        <v>2020/04/01</v>
      </c>
      <c r="N476" t="s">
        <v>9</v>
      </c>
    </row>
    <row r="477" spans="3:14" hidden="1" x14ac:dyDescent="0.2">
      <c r="C477" t="s">
        <v>10</v>
      </c>
      <c r="D477">
        <v>1305194</v>
      </c>
      <c r="E477">
        <v>559</v>
      </c>
      <c r="F477">
        <f t="shared" si="40"/>
        <v>45</v>
      </c>
      <c r="I477" t="s">
        <v>309</v>
      </c>
      <c r="J477" t="s">
        <v>77</v>
      </c>
      <c r="L477" t="str">
        <f t="shared" si="38"/>
        <v>2020/01/16</v>
      </c>
      <c r="M477" t="str">
        <f t="shared" si="39"/>
        <v>2020/03/01</v>
      </c>
      <c r="N477" t="s">
        <v>78</v>
      </c>
    </row>
    <row r="478" spans="3:14" x14ac:dyDescent="0.2">
      <c r="C478" t="s">
        <v>6</v>
      </c>
      <c r="D478">
        <v>47934</v>
      </c>
      <c r="E478">
        <v>77</v>
      </c>
      <c r="F478">
        <f t="shared" si="40"/>
        <v>7</v>
      </c>
      <c r="I478" t="s">
        <v>125</v>
      </c>
      <c r="J478" t="s">
        <v>126</v>
      </c>
      <c r="L478" t="str">
        <f t="shared" si="38"/>
        <v>2020/01/23</v>
      </c>
      <c r="M478" t="str">
        <f t="shared" si="39"/>
        <v>2020/01/30</v>
      </c>
      <c r="N478" t="s">
        <v>9</v>
      </c>
    </row>
    <row r="479" spans="3:14" hidden="1" x14ac:dyDescent="0.2">
      <c r="C479" t="s">
        <v>6</v>
      </c>
      <c r="D479">
        <v>144120</v>
      </c>
      <c r="E479">
        <v>297</v>
      </c>
      <c r="I479" t="s">
        <v>310</v>
      </c>
      <c r="L479" t="str">
        <f t="shared" si="38"/>
        <v>2020/02/19</v>
      </c>
      <c r="M479" t="e">
        <f t="shared" si="39"/>
        <v>#VALUE!</v>
      </c>
      <c r="N479" t="s">
        <v>9</v>
      </c>
    </row>
    <row r="480" spans="3:14" x14ac:dyDescent="0.2">
      <c r="C480" t="s">
        <v>6</v>
      </c>
      <c r="D480">
        <v>959695</v>
      </c>
      <c r="E480">
        <v>9158</v>
      </c>
      <c r="F480">
        <f t="shared" ref="F480:F485" si="41">M480-L480</f>
        <v>63</v>
      </c>
      <c r="I480" t="s">
        <v>18</v>
      </c>
      <c r="J480" t="s">
        <v>15</v>
      </c>
      <c r="L480" t="str">
        <f t="shared" si="38"/>
        <v>2020/01/29</v>
      </c>
      <c r="M480" t="str">
        <f t="shared" si="39"/>
        <v>2020/04/01</v>
      </c>
      <c r="N480" t="s">
        <v>9</v>
      </c>
    </row>
    <row r="481" spans="3:14" hidden="1" x14ac:dyDescent="0.2">
      <c r="C481" t="s">
        <v>56</v>
      </c>
      <c r="D481">
        <v>34825</v>
      </c>
      <c r="E481">
        <v>20</v>
      </c>
      <c r="F481">
        <f t="shared" si="41"/>
        <v>7</v>
      </c>
      <c r="I481" t="s">
        <v>145</v>
      </c>
      <c r="J481" t="s">
        <v>146</v>
      </c>
      <c r="L481" t="str">
        <f t="shared" si="38"/>
        <v>2020/01/03</v>
      </c>
      <c r="M481" t="str">
        <f t="shared" si="39"/>
        <v>2020/01/10</v>
      </c>
      <c r="N481" t="s">
        <v>59</v>
      </c>
    </row>
    <row r="482" spans="3:14" x14ac:dyDescent="0.2">
      <c r="C482" t="s">
        <v>6</v>
      </c>
      <c r="D482">
        <v>88170</v>
      </c>
      <c r="E482">
        <v>236</v>
      </c>
      <c r="F482">
        <f t="shared" si="41"/>
        <v>81</v>
      </c>
      <c r="I482" t="s">
        <v>70</v>
      </c>
      <c r="J482" t="s">
        <v>71</v>
      </c>
      <c r="L482" t="str">
        <f t="shared" si="38"/>
        <v>2019/11/19</v>
      </c>
      <c r="M482" t="str">
        <f t="shared" si="39"/>
        <v>2020/02/08</v>
      </c>
      <c r="N482" t="s">
        <v>9</v>
      </c>
    </row>
    <row r="483" spans="3:14" x14ac:dyDescent="0.2">
      <c r="C483" t="s">
        <v>6</v>
      </c>
      <c r="D483">
        <v>287613</v>
      </c>
      <c r="E483">
        <v>1121</v>
      </c>
      <c r="F483">
        <f t="shared" si="41"/>
        <v>14</v>
      </c>
      <c r="I483" t="s">
        <v>109</v>
      </c>
      <c r="J483" t="s">
        <v>82</v>
      </c>
      <c r="L483" t="str">
        <f t="shared" si="38"/>
        <v>2020/01/18</v>
      </c>
      <c r="M483" t="str">
        <f t="shared" si="39"/>
        <v>2020/02/01</v>
      </c>
      <c r="N483" t="s">
        <v>9</v>
      </c>
    </row>
    <row r="484" spans="3:14" x14ac:dyDescent="0.2">
      <c r="C484" t="s">
        <v>6</v>
      </c>
      <c r="D484">
        <v>50202</v>
      </c>
      <c r="E484">
        <v>79</v>
      </c>
      <c r="F484">
        <f t="shared" si="41"/>
        <v>4</v>
      </c>
      <c r="I484" t="s">
        <v>311</v>
      </c>
      <c r="J484" t="s">
        <v>312</v>
      </c>
      <c r="L484" t="str">
        <f t="shared" si="38"/>
        <v>2020/02/06</v>
      </c>
      <c r="M484" t="str">
        <f t="shared" si="39"/>
        <v>2020/02/10</v>
      </c>
      <c r="N484" t="s">
        <v>9</v>
      </c>
    </row>
    <row r="485" spans="3:14" hidden="1" x14ac:dyDescent="0.2">
      <c r="C485" t="s">
        <v>56</v>
      </c>
      <c r="D485">
        <v>4999</v>
      </c>
      <c r="E485">
        <v>5</v>
      </c>
      <c r="F485">
        <f t="shared" si="41"/>
        <v>41</v>
      </c>
      <c r="I485" t="s">
        <v>57</v>
      </c>
      <c r="J485" t="s">
        <v>58</v>
      </c>
      <c r="L485" t="str">
        <f t="shared" si="38"/>
        <v>2020/01/21</v>
      </c>
      <c r="M485" t="str">
        <f t="shared" si="39"/>
        <v>2020/03/02</v>
      </c>
      <c r="N485" t="s">
        <v>59</v>
      </c>
    </row>
    <row r="486" spans="3:14" hidden="1" x14ac:dyDescent="0.2">
      <c r="C486" t="s">
        <v>6</v>
      </c>
      <c r="D486">
        <v>340</v>
      </c>
      <c r="E486">
        <v>0</v>
      </c>
      <c r="I486" t="s">
        <v>188</v>
      </c>
      <c r="L486" t="str">
        <f t="shared" si="38"/>
        <v>2020/01/20</v>
      </c>
      <c r="M486" t="e">
        <f t="shared" si="39"/>
        <v>#VALUE!</v>
      </c>
      <c r="N486" t="s">
        <v>9</v>
      </c>
    </row>
    <row r="487" spans="3:14" hidden="1" x14ac:dyDescent="0.2">
      <c r="C487" t="s">
        <v>10</v>
      </c>
      <c r="D487">
        <v>2124833</v>
      </c>
      <c r="E487">
        <v>1500</v>
      </c>
      <c r="F487">
        <f>M487-L487</f>
        <v>5</v>
      </c>
      <c r="I487" t="s">
        <v>313</v>
      </c>
      <c r="J487" t="s">
        <v>314</v>
      </c>
      <c r="L487" t="str">
        <f t="shared" si="38"/>
        <v>2020/01/02</v>
      </c>
      <c r="M487" t="str">
        <f t="shared" si="39"/>
        <v>2020/01/07</v>
      </c>
      <c r="N487" t="s">
        <v>78</v>
      </c>
    </row>
    <row r="488" spans="3:14" hidden="1" x14ac:dyDescent="0.2">
      <c r="C488" t="s">
        <v>39</v>
      </c>
      <c r="D488">
        <v>191520</v>
      </c>
      <c r="E488">
        <v>421</v>
      </c>
      <c r="F488">
        <f>M488-L488</f>
        <v>343</v>
      </c>
      <c r="I488" t="s">
        <v>83</v>
      </c>
      <c r="J488" t="s">
        <v>84</v>
      </c>
      <c r="L488" t="str">
        <f t="shared" si="38"/>
        <v>2020/01/24</v>
      </c>
      <c r="M488" t="str">
        <f t="shared" si="39"/>
        <v>2021/01/01</v>
      </c>
      <c r="N488" t="s">
        <v>41</v>
      </c>
    </row>
    <row r="489" spans="3:14" hidden="1" x14ac:dyDescent="0.2">
      <c r="C489" t="s">
        <v>10</v>
      </c>
      <c r="D489">
        <v>2522</v>
      </c>
      <c r="E489">
        <v>1</v>
      </c>
      <c r="I489" t="s">
        <v>36</v>
      </c>
      <c r="L489" t="str">
        <f t="shared" si="38"/>
        <v>2020/01/17</v>
      </c>
      <c r="M489" t="e">
        <f t="shared" si="39"/>
        <v>#VALUE!</v>
      </c>
      <c r="N489" t="s">
        <v>28</v>
      </c>
    </row>
    <row r="490" spans="3:14" hidden="1" x14ac:dyDescent="0.2">
      <c r="C490" t="s">
        <v>10</v>
      </c>
      <c r="D490">
        <v>22041</v>
      </c>
      <c r="E490">
        <v>11</v>
      </c>
      <c r="F490">
        <f>M490-L490</f>
        <v>0</v>
      </c>
      <c r="I490" t="s">
        <v>118</v>
      </c>
      <c r="J490" t="s">
        <v>119</v>
      </c>
      <c r="L490" t="str">
        <f t="shared" si="38"/>
        <v>2020/01/13</v>
      </c>
      <c r="M490" t="str">
        <f t="shared" si="39"/>
        <v>2020/01/13</v>
      </c>
      <c r="N490" t="s">
        <v>28</v>
      </c>
    </row>
    <row r="491" spans="3:14" hidden="1" x14ac:dyDescent="0.2">
      <c r="C491" t="s">
        <v>39</v>
      </c>
      <c r="D491">
        <v>11484</v>
      </c>
      <c r="E491">
        <v>22</v>
      </c>
      <c r="F491">
        <f>M491-L491</f>
        <v>343</v>
      </c>
      <c r="I491" t="s">
        <v>83</v>
      </c>
      <c r="J491" t="s">
        <v>84</v>
      </c>
      <c r="L491" t="str">
        <f t="shared" si="38"/>
        <v>2020/01/24</v>
      </c>
      <c r="M491" t="str">
        <f t="shared" si="39"/>
        <v>2021/01/01</v>
      </c>
      <c r="N491" t="s">
        <v>41</v>
      </c>
    </row>
    <row r="492" spans="3:14" x14ac:dyDescent="0.2">
      <c r="C492" t="s">
        <v>6</v>
      </c>
      <c r="D492">
        <v>100954</v>
      </c>
      <c r="E492">
        <v>115</v>
      </c>
      <c r="F492">
        <f>M492-L492</f>
        <v>10</v>
      </c>
      <c r="I492" t="s">
        <v>315</v>
      </c>
      <c r="J492" t="s">
        <v>316</v>
      </c>
      <c r="L492" t="str">
        <f t="shared" si="38"/>
        <v>2020/02/21</v>
      </c>
      <c r="M492" t="str">
        <f t="shared" si="39"/>
        <v>2020/03/02</v>
      </c>
      <c r="N492" t="s">
        <v>9</v>
      </c>
    </row>
    <row r="493" spans="3:14" hidden="1" x14ac:dyDescent="0.2">
      <c r="C493" t="s">
        <v>6</v>
      </c>
      <c r="D493">
        <v>303183</v>
      </c>
      <c r="E493">
        <v>274</v>
      </c>
      <c r="I493" t="s">
        <v>317</v>
      </c>
      <c r="L493" t="str">
        <f t="shared" si="38"/>
        <v>2020/01/22</v>
      </c>
      <c r="M493" t="e">
        <f t="shared" si="39"/>
        <v>#VALUE!</v>
      </c>
      <c r="N493" t="s">
        <v>9</v>
      </c>
    </row>
    <row r="494" spans="3:14" hidden="1" x14ac:dyDescent="0.2">
      <c r="C494" t="s">
        <v>10</v>
      </c>
      <c r="D494">
        <v>828</v>
      </c>
      <c r="E494">
        <v>0</v>
      </c>
      <c r="I494" t="s">
        <v>36</v>
      </c>
      <c r="L494" t="str">
        <f t="shared" si="38"/>
        <v>2020/01/17</v>
      </c>
      <c r="M494" t="e">
        <f t="shared" si="39"/>
        <v>#VALUE!</v>
      </c>
      <c r="N494" t="s">
        <v>28</v>
      </c>
    </row>
    <row r="495" spans="3:14" hidden="1" x14ac:dyDescent="0.2">
      <c r="C495" t="s">
        <v>6</v>
      </c>
      <c r="D495">
        <v>2571</v>
      </c>
      <c r="E495">
        <v>9</v>
      </c>
      <c r="I495" t="s">
        <v>196</v>
      </c>
      <c r="L495" t="str">
        <f t="shared" si="38"/>
        <v>2020/01/24</v>
      </c>
      <c r="M495" t="e">
        <f t="shared" si="39"/>
        <v>#VALUE!</v>
      </c>
      <c r="N495" t="s">
        <v>9</v>
      </c>
    </row>
    <row r="496" spans="3:14" hidden="1" x14ac:dyDescent="0.2">
      <c r="C496" t="s">
        <v>10</v>
      </c>
      <c r="D496">
        <v>510</v>
      </c>
      <c r="E496">
        <v>0</v>
      </c>
      <c r="I496" t="s">
        <v>36</v>
      </c>
      <c r="L496" t="str">
        <f t="shared" si="38"/>
        <v>2020/01/17</v>
      </c>
      <c r="M496" t="e">
        <f t="shared" si="39"/>
        <v>#VALUE!</v>
      </c>
      <c r="N496" t="s">
        <v>28</v>
      </c>
    </row>
    <row r="497" spans="3:14" hidden="1" x14ac:dyDescent="0.2">
      <c r="C497" t="s">
        <v>6</v>
      </c>
      <c r="D497">
        <v>33114</v>
      </c>
      <c r="E497">
        <v>49</v>
      </c>
      <c r="I497" t="s">
        <v>188</v>
      </c>
      <c r="L497" t="str">
        <f t="shared" si="38"/>
        <v>2020/01/20</v>
      </c>
      <c r="M497" t="e">
        <f t="shared" si="39"/>
        <v>#VALUE!</v>
      </c>
      <c r="N497" t="s">
        <v>9</v>
      </c>
    </row>
    <row r="498" spans="3:14" x14ac:dyDescent="0.2">
      <c r="C498" t="s">
        <v>6</v>
      </c>
      <c r="D498">
        <v>156255</v>
      </c>
      <c r="E498">
        <v>222</v>
      </c>
      <c r="F498">
        <f>M498-L498</f>
        <v>35</v>
      </c>
      <c r="I498" t="s">
        <v>64</v>
      </c>
      <c r="J498" t="s">
        <v>65</v>
      </c>
      <c r="L498" t="str">
        <f t="shared" si="38"/>
        <v>2020/01/23</v>
      </c>
      <c r="M498" t="str">
        <f t="shared" si="39"/>
        <v>2020/02/27</v>
      </c>
      <c r="N498" t="s">
        <v>9</v>
      </c>
    </row>
    <row r="499" spans="3:14" hidden="1" x14ac:dyDescent="0.2">
      <c r="C499" t="s">
        <v>6</v>
      </c>
      <c r="D499">
        <v>5544</v>
      </c>
      <c r="E499">
        <v>20</v>
      </c>
      <c r="I499" t="s">
        <v>196</v>
      </c>
      <c r="L499" t="str">
        <f t="shared" si="38"/>
        <v>2020/01/24</v>
      </c>
      <c r="M499" t="e">
        <f t="shared" si="39"/>
        <v>#VALUE!</v>
      </c>
      <c r="N499" t="s">
        <v>9</v>
      </c>
    </row>
    <row r="500" spans="3:14" x14ac:dyDescent="0.2">
      <c r="C500" t="s">
        <v>6</v>
      </c>
      <c r="D500">
        <v>794747</v>
      </c>
      <c r="E500">
        <v>1861</v>
      </c>
      <c r="F500">
        <f>M500-L500</f>
        <v>32</v>
      </c>
      <c r="I500" t="s">
        <v>72</v>
      </c>
      <c r="J500" t="s">
        <v>104</v>
      </c>
      <c r="L500" t="str">
        <f t="shared" si="38"/>
        <v>2020/01/03</v>
      </c>
      <c r="M500" t="str">
        <f t="shared" si="39"/>
        <v>2020/02/04</v>
      </c>
      <c r="N500" t="s">
        <v>9</v>
      </c>
    </row>
    <row r="501" spans="3:14" hidden="1" x14ac:dyDescent="0.2">
      <c r="C501" t="s">
        <v>10</v>
      </c>
      <c r="D501">
        <v>1358</v>
      </c>
      <c r="E501">
        <v>0</v>
      </c>
      <c r="I501" t="s">
        <v>27</v>
      </c>
      <c r="L501" t="str">
        <f t="shared" si="38"/>
        <v>2020/01/17</v>
      </c>
      <c r="M501" t="e">
        <f t="shared" si="39"/>
        <v>#VALUE!</v>
      </c>
      <c r="N501" t="s">
        <v>28</v>
      </c>
    </row>
    <row r="502" spans="3:14" x14ac:dyDescent="0.2">
      <c r="C502" t="s">
        <v>6</v>
      </c>
      <c r="D502">
        <v>282465</v>
      </c>
      <c r="E502">
        <v>494</v>
      </c>
      <c r="F502">
        <f>M502-L502</f>
        <v>32</v>
      </c>
      <c r="I502" t="s">
        <v>72</v>
      </c>
      <c r="J502" t="s">
        <v>104</v>
      </c>
      <c r="L502" t="str">
        <f t="shared" si="38"/>
        <v>2020/01/03</v>
      </c>
      <c r="M502" t="str">
        <f t="shared" si="39"/>
        <v>2020/02/04</v>
      </c>
      <c r="N502" t="s">
        <v>9</v>
      </c>
    </row>
    <row r="503" spans="3:14" hidden="1" x14ac:dyDescent="0.2">
      <c r="C503" t="s">
        <v>127</v>
      </c>
      <c r="D503">
        <v>4301</v>
      </c>
      <c r="E503">
        <v>30</v>
      </c>
      <c r="F503">
        <f>M503-L503</f>
        <v>6</v>
      </c>
      <c r="I503" t="s">
        <v>166</v>
      </c>
      <c r="J503" t="s">
        <v>303</v>
      </c>
      <c r="L503" t="str">
        <f t="shared" si="38"/>
        <v>2020/02/16</v>
      </c>
      <c r="M503" t="str">
        <f t="shared" si="39"/>
        <v>2020/02/22</v>
      </c>
      <c r="N503" t="s">
        <v>130</v>
      </c>
    </row>
    <row r="504" spans="3:14" x14ac:dyDescent="0.2">
      <c r="C504" t="s">
        <v>6</v>
      </c>
      <c r="D504">
        <v>18614</v>
      </c>
      <c r="E504">
        <v>75</v>
      </c>
      <c r="F504">
        <f>M504-L504</f>
        <v>7</v>
      </c>
      <c r="I504" t="s">
        <v>318</v>
      </c>
      <c r="J504" t="s">
        <v>319</v>
      </c>
      <c r="L504" t="str">
        <f t="shared" si="38"/>
        <v>2020/02/04</v>
      </c>
      <c r="M504" t="str">
        <f t="shared" si="39"/>
        <v>2020/02/11</v>
      </c>
      <c r="N504" t="s">
        <v>9</v>
      </c>
    </row>
    <row r="505" spans="3:14" hidden="1" x14ac:dyDescent="0.2">
      <c r="C505" t="s">
        <v>6</v>
      </c>
      <c r="D505">
        <v>4297462</v>
      </c>
      <c r="E505">
        <v>3728</v>
      </c>
      <c r="I505" t="s">
        <v>320</v>
      </c>
      <c r="L505" t="str">
        <f t="shared" si="38"/>
        <v>2020/01/10</v>
      </c>
      <c r="M505" t="e">
        <f t="shared" si="39"/>
        <v>#VALUE!</v>
      </c>
      <c r="N505" t="s">
        <v>9</v>
      </c>
    </row>
    <row r="506" spans="3:14" x14ac:dyDescent="0.2">
      <c r="C506" t="s">
        <v>6</v>
      </c>
      <c r="D506">
        <v>186668</v>
      </c>
      <c r="E506">
        <v>368</v>
      </c>
      <c r="F506">
        <f>M506-L506</f>
        <v>31</v>
      </c>
      <c r="I506" t="s">
        <v>45</v>
      </c>
      <c r="J506" t="s">
        <v>46</v>
      </c>
      <c r="L506" t="str">
        <f t="shared" si="38"/>
        <v>2020/01/01</v>
      </c>
      <c r="M506" t="str">
        <f t="shared" si="39"/>
        <v>2020/02/01</v>
      </c>
      <c r="N506" t="s">
        <v>9</v>
      </c>
    </row>
    <row r="507" spans="3:14" x14ac:dyDescent="0.2">
      <c r="C507" t="s">
        <v>6</v>
      </c>
      <c r="D507">
        <v>2054</v>
      </c>
      <c r="E507">
        <v>7</v>
      </c>
      <c r="F507">
        <f>M507-L507</f>
        <v>10</v>
      </c>
      <c r="I507" t="s">
        <v>16</v>
      </c>
      <c r="J507" t="s">
        <v>8</v>
      </c>
      <c r="L507" t="str">
        <f t="shared" si="38"/>
        <v>2020/02/23</v>
      </c>
      <c r="M507" t="str">
        <f t="shared" si="39"/>
        <v>2020/03/04</v>
      </c>
      <c r="N507" t="s">
        <v>9</v>
      </c>
    </row>
    <row r="508" spans="3:14" x14ac:dyDescent="0.2">
      <c r="C508" t="s">
        <v>6</v>
      </c>
      <c r="D508">
        <v>39443</v>
      </c>
      <c r="E508">
        <v>162</v>
      </c>
      <c r="F508">
        <f>M508-L508</f>
        <v>12</v>
      </c>
      <c r="I508" t="s">
        <v>321</v>
      </c>
      <c r="J508" t="s">
        <v>233</v>
      </c>
      <c r="L508" t="str">
        <f t="shared" si="38"/>
        <v>2020/01/30</v>
      </c>
      <c r="M508" t="str">
        <f t="shared" si="39"/>
        <v>2020/02/11</v>
      </c>
      <c r="N508" t="s">
        <v>9</v>
      </c>
    </row>
    <row r="509" spans="3:14" x14ac:dyDescent="0.2">
      <c r="C509" t="s">
        <v>6</v>
      </c>
      <c r="D509">
        <v>2228902</v>
      </c>
      <c r="E509">
        <v>21744</v>
      </c>
      <c r="F509">
        <f>M509-L509</f>
        <v>8</v>
      </c>
      <c r="I509" t="s">
        <v>62</v>
      </c>
      <c r="J509" t="s">
        <v>63</v>
      </c>
      <c r="L509" t="str">
        <f t="shared" si="38"/>
        <v>2020/02/08</v>
      </c>
      <c r="M509" t="str">
        <f t="shared" si="39"/>
        <v>2020/02/16</v>
      </c>
      <c r="N509" t="s">
        <v>9</v>
      </c>
    </row>
    <row r="510" spans="3:14" hidden="1" x14ac:dyDescent="0.2">
      <c r="C510" t="s">
        <v>6</v>
      </c>
      <c r="D510">
        <v>1180523</v>
      </c>
      <c r="E510">
        <v>890</v>
      </c>
      <c r="I510" t="s">
        <v>322</v>
      </c>
      <c r="L510" t="str">
        <f t="shared" si="38"/>
        <v>2020/02/07</v>
      </c>
      <c r="M510" t="e">
        <f t="shared" si="39"/>
        <v>#VALUE!</v>
      </c>
      <c r="N510" t="s">
        <v>9</v>
      </c>
    </row>
    <row r="511" spans="3:14" x14ac:dyDescent="0.2">
      <c r="C511" t="s">
        <v>6</v>
      </c>
      <c r="D511">
        <v>642798</v>
      </c>
      <c r="E511">
        <v>768</v>
      </c>
      <c r="F511">
        <f>M511-L511</f>
        <v>84</v>
      </c>
      <c r="I511" t="s">
        <v>14</v>
      </c>
      <c r="J511" t="s">
        <v>15</v>
      </c>
      <c r="L511" t="str">
        <f t="shared" si="38"/>
        <v>2020/01/08</v>
      </c>
      <c r="M511" t="str">
        <f t="shared" si="39"/>
        <v>2020/04/01</v>
      </c>
      <c r="N511" t="s">
        <v>9</v>
      </c>
    </row>
    <row r="512" spans="3:14" hidden="1" x14ac:dyDescent="0.2">
      <c r="C512" t="s">
        <v>6</v>
      </c>
      <c r="D512">
        <v>96</v>
      </c>
      <c r="E512">
        <v>0</v>
      </c>
      <c r="I512" t="s">
        <v>44</v>
      </c>
      <c r="L512" t="str">
        <f t="shared" si="38"/>
        <v>2020/02/20</v>
      </c>
      <c r="M512" t="e">
        <f t="shared" si="39"/>
        <v>#VALUE!</v>
      </c>
      <c r="N512" t="s">
        <v>9</v>
      </c>
    </row>
    <row r="513" spans="3:14" x14ac:dyDescent="0.2">
      <c r="C513" t="s">
        <v>6</v>
      </c>
      <c r="D513">
        <v>975</v>
      </c>
      <c r="E513">
        <v>3</v>
      </c>
      <c r="F513">
        <f>M513-L513</f>
        <v>10</v>
      </c>
      <c r="I513" t="s">
        <v>16</v>
      </c>
      <c r="J513" t="s">
        <v>8</v>
      </c>
      <c r="L513" t="str">
        <f t="shared" si="38"/>
        <v>2020/02/23</v>
      </c>
      <c r="M513" t="str">
        <f t="shared" si="39"/>
        <v>2020/03/04</v>
      </c>
      <c r="N513" t="s">
        <v>9</v>
      </c>
    </row>
    <row r="514" spans="3:14" hidden="1" x14ac:dyDescent="0.2">
      <c r="C514" t="s">
        <v>10</v>
      </c>
      <c r="D514">
        <v>2431</v>
      </c>
      <c r="E514">
        <v>1</v>
      </c>
      <c r="I514" t="s">
        <v>36</v>
      </c>
      <c r="L514" t="str">
        <f t="shared" si="38"/>
        <v>2020/01/17</v>
      </c>
      <c r="M514" t="e">
        <f t="shared" si="39"/>
        <v>#VALUE!</v>
      </c>
      <c r="N514" t="s">
        <v>28</v>
      </c>
    </row>
    <row r="515" spans="3:14" x14ac:dyDescent="0.2">
      <c r="C515" t="s">
        <v>6</v>
      </c>
      <c r="D515">
        <v>18203</v>
      </c>
      <c r="E515">
        <v>68</v>
      </c>
      <c r="F515">
        <f>M515-L515</f>
        <v>4</v>
      </c>
      <c r="I515" t="s">
        <v>323</v>
      </c>
      <c r="J515" t="s">
        <v>324</v>
      </c>
      <c r="L515" t="str">
        <f t="shared" ref="L515:L578" si="42">LEFT(I515,FIND(" ",I515)-1)</f>
        <v>2020/01/11</v>
      </c>
      <c r="M515" t="str">
        <f t="shared" ref="M515:M578" si="43">LEFT(J515,FIND(" ",J515)-1)</f>
        <v>2020/01/15</v>
      </c>
      <c r="N515" t="s">
        <v>9</v>
      </c>
    </row>
    <row r="516" spans="3:14" x14ac:dyDescent="0.2">
      <c r="C516" t="s">
        <v>6</v>
      </c>
      <c r="D516">
        <v>73915</v>
      </c>
      <c r="E516">
        <v>200</v>
      </c>
      <c r="F516">
        <f>M516-L516</f>
        <v>3</v>
      </c>
      <c r="I516" t="s">
        <v>325</v>
      </c>
      <c r="J516" t="s">
        <v>326</v>
      </c>
      <c r="L516" t="str">
        <f t="shared" si="42"/>
        <v>2020/01/29</v>
      </c>
      <c r="M516" t="str">
        <f t="shared" si="43"/>
        <v>2020/02/01</v>
      </c>
      <c r="N516" t="s">
        <v>9</v>
      </c>
    </row>
    <row r="517" spans="3:14" hidden="1" x14ac:dyDescent="0.2">
      <c r="C517" t="s">
        <v>6</v>
      </c>
      <c r="D517">
        <v>488923</v>
      </c>
      <c r="E517">
        <v>500</v>
      </c>
      <c r="I517" t="s">
        <v>327</v>
      </c>
      <c r="L517" t="str">
        <f t="shared" si="42"/>
        <v>2020/02/07</v>
      </c>
      <c r="M517" t="e">
        <f t="shared" si="43"/>
        <v>#VALUE!</v>
      </c>
      <c r="N517" t="s">
        <v>9</v>
      </c>
    </row>
    <row r="518" spans="3:14" hidden="1" x14ac:dyDescent="0.2">
      <c r="C518" t="s">
        <v>10</v>
      </c>
      <c r="D518">
        <v>16750</v>
      </c>
      <c r="E518">
        <v>8</v>
      </c>
      <c r="F518">
        <f>M518-L518</f>
        <v>0</v>
      </c>
      <c r="I518" t="s">
        <v>118</v>
      </c>
      <c r="J518" t="s">
        <v>119</v>
      </c>
      <c r="L518" t="str">
        <f t="shared" si="42"/>
        <v>2020/01/13</v>
      </c>
      <c r="M518" t="str">
        <f t="shared" si="43"/>
        <v>2020/01/13</v>
      </c>
      <c r="N518" t="s">
        <v>28</v>
      </c>
    </row>
    <row r="519" spans="3:14" hidden="1" x14ac:dyDescent="0.2">
      <c r="C519" t="s">
        <v>6</v>
      </c>
      <c r="D519">
        <v>48420</v>
      </c>
      <c r="E519">
        <v>66</v>
      </c>
      <c r="I519" t="s">
        <v>328</v>
      </c>
      <c r="L519" t="str">
        <f t="shared" si="42"/>
        <v>2020/01/22</v>
      </c>
      <c r="M519" t="e">
        <f t="shared" si="43"/>
        <v>#VALUE!</v>
      </c>
      <c r="N519" t="s">
        <v>9</v>
      </c>
    </row>
    <row r="520" spans="3:14" x14ac:dyDescent="0.2">
      <c r="C520" t="s">
        <v>6</v>
      </c>
      <c r="D520">
        <v>284412</v>
      </c>
      <c r="E520">
        <v>176</v>
      </c>
      <c r="F520">
        <f>M520-L520</f>
        <v>9</v>
      </c>
      <c r="I520" t="s">
        <v>329</v>
      </c>
      <c r="J520" t="s">
        <v>330</v>
      </c>
      <c r="L520" t="str">
        <f t="shared" si="42"/>
        <v>2020/02/20</v>
      </c>
      <c r="M520" t="str">
        <f t="shared" si="43"/>
        <v>2020/02/29</v>
      </c>
      <c r="N520" t="s">
        <v>9</v>
      </c>
    </row>
    <row r="521" spans="3:14" x14ac:dyDescent="0.2">
      <c r="C521" t="s">
        <v>6</v>
      </c>
      <c r="D521">
        <v>1661369</v>
      </c>
      <c r="E521">
        <v>3700</v>
      </c>
      <c r="F521">
        <f>M521-L521</f>
        <v>63</v>
      </c>
      <c r="I521" t="s">
        <v>18</v>
      </c>
      <c r="J521" t="s">
        <v>15</v>
      </c>
      <c r="L521" t="str">
        <f t="shared" si="42"/>
        <v>2020/01/29</v>
      </c>
      <c r="M521" t="str">
        <f t="shared" si="43"/>
        <v>2020/04/01</v>
      </c>
      <c r="N521" t="s">
        <v>9</v>
      </c>
    </row>
    <row r="522" spans="3:14" hidden="1" x14ac:dyDescent="0.2">
      <c r="C522" t="s">
        <v>127</v>
      </c>
      <c r="D522">
        <v>8551</v>
      </c>
      <c r="E522">
        <v>45</v>
      </c>
      <c r="F522">
        <f>M522-L522</f>
        <v>6</v>
      </c>
      <c r="I522" t="s">
        <v>166</v>
      </c>
      <c r="J522" t="s">
        <v>303</v>
      </c>
      <c r="L522" t="str">
        <f t="shared" si="42"/>
        <v>2020/02/16</v>
      </c>
      <c r="M522" t="str">
        <f t="shared" si="43"/>
        <v>2020/02/22</v>
      </c>
      <c r="N522" t="s">
        <v>130</v>
      </c>
    </row>
    <row r="523" spans="3:14" hidden="1" x14ac:dyDescent="0.2">
      <c r="C523" t="s">
        <v>6</v>
      </c>
      <c r="D523">
        <v>28919172</v>
      </c>
      <c r="E523">
        <v>23516</v>
      </c>
      <c r="I523" t="s">
        <v>331</v>
      </c>
      <c r="L523" t="str">
        <f t="shared" si="42"/>
        <v>2020/02/07</v>
      </c>
      <c r="M523" t="e">
        <f t="shared" si="43"/>
        <v>#VALUE!</v>
      </c>
      <c r="N523" t="s">
        <v>9</v>
      </c>
    </row>
    <row r="524" spans="3:14" x14ac:dyDescent="0.2">
      <c r="C524" t="s">
        <v>6</v>
      </c>
      <c r="D524">
        <v>3609</v>
      </c>
      <c r="E524">
        <v>13</v>
      </c>
      <c r="F524">
        <f>M524-L524</f>
        <v>10</v>
      </c>
      <c r="I524" t="s">
        <v>140</v>
      </c>
      <c r="J524" t="s">
        <v>24</v>
      </c>
      <c r="L524" t="str">
        <f t="shared" si="42"/>
        <v>2020/02/23</v>
      </c>
      <c r="M524" t="str">
        <f t="shared" si="43"/>
        <v>2020/03/04</v>
      </c>
      <c r="N524" t="s">
        <v>9</v>
      </c>
    </row>
    <row r="525" spans="3:14" x14ac:dyDescent="0.2">
      <c r="C525" t="s">
        <v>6</v>
      </c>
      <c r="D525">
        <v>695</v>
      </c>
      <c r="E525">
        <v>2</v>
      </c>
      <c r="F525">
        <f>M525-L525</f>
        <v>10</v>
      </c>
      <c r="I525" t="s">
        <v>7</v>
      </c>
      <c r="J525" t="s">
        <v>8</v>
      </c>
      <c r="L525" t="str">
        <f t="shared" si="42"/>
        <v>2020/02/23</v>
      </c>
      <c r="M525" t="str">
        <f t="shared" si="43"/>
        <v>2020/03/04</v>
      </c>
      <c r="N525" t="s">
        <v>9</v>
      </c>
    </row>
    <row r="526" spans="3:14" x14ac:dyDescent="0.2">
      <c r="C526" t="s">
        <v>6</v>
      </c>
      <c r="D526">
        <v>2600565</v>
      </c>
      <c r="E526">
        <v>11000</v>
      </c>
      <c r="F526">
        <f>M526-L526</f>
        <v>14</v>
      </c>
      <c r="I526" t="s">
        <v>332</v>
      </c>
      <c r="J526" t="s">
        <v>333</v>
      </c>
      <c r="L526" t="str">
        <f t="shared" si="42"/>
        <v>2020/01/22</v>
      </c>
      <c r="M526" t="str">
        <f t="shared" si="43"/>
        <v>2020/02/05</v>
      </c>
      <c r="N526" t="s">
        <v>9</v>
      </c>
    </row>
    <row r="527" spans="3:14" hidden="1" x14ac:dyDescent="0.2">
      <c r="C527" t="s">
        <v>10</v>
      </c>
      <c r="D527">
        <v>808</v>
      </c>
      <c r="E527">
        <v>0</v>
      </c>
      <c r="I527" t="s">
        <v>27</v>
      </c>
      <c r="L527" t="str">
        <f t="shared" si="42"/>
        <v>2020/01/17</v>
      </c>
      <c r="M527" t="e">
        <f t="shared" si="43"/>
        <v>#VALUE!</v>
      </c>
      <c r="N527" t="s">
        <v>28</v>
      </c>
    </row>
    <row r="528" spans="3:14" x14ac:dyDescent="0.2">
      <c r="C528" t="s">
        <v>6</v>
      </c>
      <c r="D528">
        <v>372095</v>
      </c>
      <c r="E528">
        <v>416</v>
      </c>
      <c r="F528">
        <f>M528-L528</f>
        <v>63</v>
      </c>
      <c r="I528" t="s">
        <v>18</v>
      </c>
      <c r="J528" t="s">
        <v>15</v>
      </c>
      <c r="L528" t="str">
        <f t="shared" si="42"/>
        <v>2020/01/29</v>
      </c>
      <c r="M528" t="str">
        <f t="shared" si="43"/>
        <v>2020/04/01</v>
      </c>
      <c r="N528" t="s">
        <v>9</v>
      </c>
    </row>
    <row r="529" spans="3:14" hidden="1" x14ac:dyDescent="0.2">
      <c r="C529" t="s">
        <v>10</v>
      </c>
      <c r="D529">
        <v>47085</v>
      </c>
      <c r="E529">
        <v>29</v>
      </c>
      <c r="F529">
        <f>M529-L529</f>
        <v>1</v>
      </c>
      <c r="I529" t="s">
        <v>334</v>
      </c>
      <c r="J529" t="s">
        <v>335</v>
      </c>
      <c r="L529" t="str">
        <f t="shared" si="42"/>
        <v>2020/01/18</v>
      </c>
      <c r="M529" t="str">
        <f t="shared" si="43"/>
        <v>2020/01/19</v>
      </c>
      <c r="N529" t="s">
        <v>28</v>
      </c>
    </row>
    <row r="530" spans="3:14" x14ac:dyDescent="0.2">
      <c r="C530" t="s">
        <v>6</v>
      </c>
      <c r="D530">
        <v>15214105</v>
      </c>
      <c r="E530">
        <v>38612</v>
      </c>
      <c r="F530">
        <f>M530-L530</f>
        <v>63</v>
      </c>
      <c r="I530" t="s">
        <v>132</v>
      </c>
      <c r="J530" t="s">
        <v>15</v>
      </c>
      <c r="L530" t="str">
        <f t="shared" si="42"/>
        <v>2020/01/29</v>
      </c>
      <c r="M530" t="str">
        <f t="shared" si="43"/>
        <v>2020/04/01</v>
      </c>
      <c r="N530" t="s">
        <v>9</v>
      </c>
    </row>
    <row r="531" spans="3:14" hidden="1" x14ac:dyDescent="0.2">
      <c r="C531" t="s">
        <v>10</v>
      </c>
      <c r="D531">
        <v>982</v>
      </c>
      <c r="E531">
        <v>0</v>
      </c>
      <c r="I531" t="s">
        <v>36</v>
      </c>
      <c r="L531" t="str">
        <f t="shared" si="42"/>
        <v>2020/01/17</v>
      </c>
      <c r="M531" t="e">
        <f t="shared" si="43"/>
        <v>#VALUE!</v>
      </c>
      <c r="N531" t="s">
        <v>28</v>
      </c>
    </row>
    <row r="532" spans="3:14" x14ac:dyDescent="0.2">
      <c r="C532" t="s">
        <v>6</v>
      </c>
      <c r="D532">
        <v>2096106</v>
      </c>
      <c r="E532">
        <v>2525</v>
      </c>
      <c r="F532">
        <f>M532-L532</f>
        <v>26</v>
      </c>
      <c r="I532" t="s">
        <v>81</v>
      </c>
      <c r="J532" t="s">
        <v>82</v>
      </c>
      <c r="L532" t="str">
        <f t="shared" si="42"/>
        <v>2020/01/06</v>
      </c>
      <c r="M532" t="str">
        <f t="shared" si="43"/>
        <v>2020/02/01</v>
      </c>
      <c r="N532" t="s">
        <v>9</v>
      </c>
    </row>
    <row r="533" spans="3:14" hidden="1" x14ac:dyDescent="0.2">
      <c r="C533" t="s">
        <v>56</v>
      </c>
      <c r="D533">
        <v>33774</v>
      </c>
      <c r="E533">
        <v>43</v>
      </c>
      <c r="F533">
        <f>M533-L533</f>
        <v>41</v>
      </c>
      <c r="I533" t="s">
        <v>57</v>
      </c>
      <c r="J533" t="s">
        <v>58</v>
      </c>
      <c r="L533" t="str">
        <f t="shared" si="42"/>
        <v>2020/01/21</v>
      </c>
      <c r="M533" t="str">
        <f t="shared" si="43"/>
        <v>2020/03/02</v>
      </c>
      <c r="N533" t="s">
        <v>59</v>
      </c>
    </row>
    <row r="534" spans="3:14" x14ac:dyDescent="0.2">
      <c r="C534" t="s">
        <v>6</v>
      </c>
      <c r="D534">
        <v>81730</v>
      </c>
      <c r="E534">
        <v>136</v>
      </c>
      <c r="F534">
        <f>M534-L534</f>
        <v>12</v>
      </c>
      <c r="I534" t="s">
        <v>19</v>
      </c>
      <c r="J534" t="s">
        <v>20</v>
      </c>
      <c r="L534" t="str">
        <f t="shared" si="42"/>
        <v>2020/01/23</v>
      </c>
      <c r="M534" t="str">
        <f t="shared" si="43"/>
        <v>2020/02/04</v>
      </c>
      <c r="N534" t="s">
        <v>9</v>
      </c>
    </row>
    <row r="535" spans="3:14" x14ac:dyDescent="0.2">
      <c r="C535" t="s">
        <v>6</v>
      </c>
      <c r="D535">
        <v>46180</v>
      </c>
      <c r="E535">
        <v>141</v>
      </c>
      <c r="F535">
        <f>M535-L535</f>
        <v>111</v>
      </c>
      <c r="I535" t="s">
        <v>147</v>
      </c>
      <c r="J535" t="s">
        <v>148</v>
      </c>
      <c r="L535" t="str">
        <f t="shared" si="42"/>
        <v>2020/02/10</v>
      </c>
      <c r="M535" t="str">
        <f t="shared" si="43"/>
        <v>2020/05/31</v>
      </c>
      <c r="N535" t="s">
        <v>9</v>
      </c>
    </row>
    <row r="536" spans="3:14" hidden="1" x14ac:dyDescent="0.2">
      <c r="C536" t="s">
        <v>6</v>
      </c>
      <c r="D536">
        <v>4582752</v>
      </c>
      <c r="E536">
        <v>4923</v>
      </c>
      <c r="I536" t="s">
        <v>336</v>
      </c>
      <c r="L536" t="str">
        <f t="shared" si="42"/>
        <v>2020/02/07</v>
      </c>
      <c r="M536" t="e">
        <f t="shared" si="43"/>
        <v>#VALUE!</v>
      </c>
      <c r="N536" t="s">
        <v>9</v>
      </c>
    </row>
    <row r="537" spans="3:14" hidden="1" x14ac:dyDescent="0.2">
      <c r="C537" t="s">
        <v>56</v>
      </c>
      <c r="D537">
        <v>6327</v>
      </c>
      <c r="E537">
        <v>8</v>
      </c>
      <c r="F537">
        <f>M537-L537</f>
        <v>8</v>
      </c>
      <c r="I537" t="s">
        <v>97</v>
      </c>
      <c r="J537" t="s">
        <v>98</v>
      </c>
      <c r="L537" t="str">
        <f t="shared" si="42"/>
        <v>2020/01/20</v>
      </c>
      <c r="M537" t="str">
        <f t="shared" si="43"/>
        <v>2020/01/28</v>
      </c>
      <c r="N537" t="s">
        <v>59</v>
      </c>
    </row>
    <row r="538" spans="3:14" x14ac:dyDescent="0.2">
      <c r="C538" t="s">
        <v>6</v>
      </c>
      <c r="D538">
        <v>22278</v>
      </c>
      <c r="E538">
        <v>39</v>
      </c>
      <c r="F538">
        <f>M538-L538</f>
        <v>226</v>
      </c>
      <c r="I538" t="s">
        <v>21</v>
      </c>
      <c r="J538" t="s">
        <v>22</v>
      </c>
      <c r="L538" t="str">
        <f t="shared" si="42"/>
        <v>2019/10/18</v>
      </c>
      <c r="M538" t="str">
        <f t="shared" si="43"/>
        <v>2020/05/31</v>
      </c>
      <c r="N538" t="s">
        <v>9</v>
      </c>
    </row>
    <row r="539" spans="3:14" hidden="1" x14ac:dyDescent="0.2">
      <c r="C539" t="s">
        <v>10</v>
      </c>
      <c r="D539">
        <v>685</v>
      </c>
      <c r="E539">
        <v>0</v>
      </c>
      <c r="I539" t="s">
        <v>36</v>
      </c>
      <c r="L539" t="str">
        <f t="shared" si="42"/>
        <v>2020/01/17</v>
      </c>
      <c r="M539" t="e">
        <f t="shared" si="43"/>
        <v>#VALUE!</v>
      </c>
      <c r="N539" t="s">
        <v>28</v>
      </c>
    </row>
    <row r="540" spans="3:14" hidden="1" x14ac:dyDescent="0.2">
      <c r="C540" t="s">
        <v>10</v>
      </c>
      <c r="D540">
        <v>1120</v>
      </c>
      <c r="E540">
        <v>0</v>
      </c>
      <c r="I540" t="s">
        <v>36</v>
      </c>
      <c r="L540" t="str">
        <f t="shared" si="42"/>
        <v>2020/01/17</v>
      </c>
      <c r="M540" t="e">
        <f t="shared" si="43"/>
        <v>#VALUE!</v>
      </c>
      <c r="N540" t="s">
        <v>28</v>
      </c>
    </row>
    <row r="541" spans="3:14" hidden="1" x14ac:dyDescent="0.2">
      <c r="C541" t="s">
        <v>56</v>
      </c>
      <c r="D541">
        <v>1612388</v>
      </c>
      <c r="E541">
        <v>1193</v>
      </c>
      <c r="F541">
        <f t="shared" ref="F541:F547" si="44">M541-L541</f>
        <v>74</v>
      </c>
      <c r="I541" t="s">
        <v>337</v>
      </c>
      <c r="J541" t="s">
        <v>338</v>
      </c>
      <c r="L541" t="str">
        <f t="shared" si="42"/>
        <v>2020/01/16</v>
      </c>
      <c r="M541" t="str">
        <f t="shared" si="43"/>
        <v>2020/03/30</v>
      </c>
      <c r="N541" t="s">
        <v>59</v>
      </c>
    </row>
    <row r="542" spans="3:14" x14ac:dyDescent="0.2">
      <c r="C542" t="s">
        <v>6</v>
      </c>
      <c r="D542">
        <v>56298</v>
      </c>
      <c r="E542">
        <v>448</v>
      </c>
      <c r="F542">
        <f t="shared" si="44"/>
        <v>27</v>
      </c>
      <c r="I542" t="s">
        <v>31</v>
      </c>
      <c r="J542" t="s">
        <v>24</v>
      </c>
      <c r="L542" t="str">
        <f t="shared" si="42"/>
        <v>2020/02/06</v>
      </c>
      <c r="M542" t="str">
        <f t="shared" si="43"/>
        <v>2020/03/04</v>
      </c>
      <c r="N542" t="s">
        <v>9</v>
      </c>
    </row>
    <row r="543" spans="3:14" hidden="1" x14ac:dyDescent="0.2">
      <c r="C543" t="s">
        <v>39</v>
      </c>
      <c r="D543">
        <v>243193</v>
      </c>
      <c r="E543">
        <v>467</v>
      </c>
      <c r="F543">
        <f t="shared" si="44"/>
        <v>40</v>
      </c>
      <c r="I543" t="s">
        <v>339</v>
      </c>
      <c r="J543" t="s">
        <v>340</v>
      </c>
      <c r="L543" t="str">
        <f t="shared" si="42"/>
        <v>2020/02/19</v>
      </c>
      <c r="M543" t="str">
        <f t="shared" si="43"/>
        <v>2020/03/30</v>
      </c>
      <c r="N543" t="s">
        <v>41</v>
      </c>
    </row>
    <row r="544" spans="3:14" x14ac:dyDescent="0.2">
      <c r="C544" t="s">
        <v>6</v>
      </c>
      <c r="D544">
        <v>452202</v>
      </c>
      <c r="E544">
        <v>674</v>
      </c>
      <c r="F544">
        <f t="shared" si="44"/>
        <v>31</v>
      </c>
      <c r="I544" t="s">
        <v>45</v>
      </c>
      <c r="J544" t="s">
        <v>46</v>
      </c>
      <c r="L544" t="str">
        <f t="shared" si="42"/>
        <v>2020/01/01</v>
      </c>
      <c r="M544" t="str">
        <f t="shared" si="43"/>
        <v>2020/02/01</v>
      </c>
      <c r="N544" t="s">
        <v>9</v>
      </c>
    </row>
    <row r="545" spans="3:14" x14ac:dyDescent="0.2">
      <c r="C545" t="s">
        <v>6</v>
      </c>
      <c r="D545">
        <v>9877070</v>
      </c>
      <c r="E545">
        <v>14668</v>
      </c>
      <c r="F545">
        <f t="shared" si="44"/>
        <v>26</v>
      </c>
      <c r="I545" t="s">
        <v>81</v>
      </c>
      <c r="J545" t="s">
        <v>82</v>
      </c>
      <c r="L545" t="str">
        <f t="shared" si="42"/>
        <v>2020/01/06</v>
      </c>
      <c r="M545" t="str">
        <f t="shared" si="43"/>
        <v>2020/02/01</v>
      </c>
      <c r="N545" t="s">
        <v>9</v>
      </c>
    </row>
    <row r="546" spans="3:14" hidden="1" x14ac:dyDescent="0.2">
      <c r="C546" t="s">
        <v>6</v>
      </c>
      <c r="D546">
        <v>161299</v>
      </c>
      <c r="E546">
        <v>377</v>
      </c>
      <c r="F546">
        <f t="shared" si="44"/>
        <v>12</v>
      </c>
      <c r="I546" t="s">
        <v>341</v>
      </c>
      <c r="J546" t="s">
        <v>342</v>
      </c>
      <c r="L546" t="str">
        <f t="shared" si="42"/>
        <v>2020/01/22</v>
      </c>
      <c r="M546" t="str">
        <f t="shared" si="43"/>
        <v>2020/02/03</v>
      </c>
      <c r="N546" t="s">
        <v>87</v>
      </c>
    </row>
    <row r="547" spans="3:14" x14ac:dyDescent="0.2">
      <c r="C547" t="s">
        <v>6</v>
      </c>
      <c r="D547">
        <v>79632</v>
      </c>
      <c r="E547">
        <v>151</v>
      </c>
      <c r="F547">
        <f t="shared" si="44"/>
        <v>12</v>
      </c>
      <c r="I547" t="s">
        <v>19</v>
      </c>
      <c r="J547" t="s">
        <v>20</v>
      </c>
      <c r="L547" t="str">
        <f t="shared" si="42"/>
        <v>2020/01/23</v>
      </c>
      <c r="M547" t="str">
        <f t="shared" si="43"/>
        <v>2020/02/04</v>
      </c>
      <c r="N547" t="s">
        <v>9</v>
      </c>
    </row>
    <row r="548" spans="3:14" hidden="1" x14ac:dyDescent="0.2">
      <c r="C548" t="s">
        <v>10</v>
      </c>
      <c r="D548">
        <v>1420</v>
      </c>
      <c r="E548">
        <v>0</v>
      </c>
      <c r="I548" t="s">
        <v>36</v>
      </c>
      <c r="L548" t="str">
        <f t="shared" si="42"/>
        <v>2020/01/17</v>
      </c>
      <c r="M548" t="e">
        <f t="shared" si="43"/>
        <v>#VALUE!</v>
      </c>
      <c r="N548" t="s">
        <v>28</v>
      </c>
    </row>
    <row r="549" spans="3:14" hidden="1" x14ac:dyDescent="0.2">
      <c r="C549" t="s">
        <v>10</v>
      </c>
      <c r="D549">
        <v>3035</v>
      </c>
      <c r="E549">
        <v>1</v>
      </c>
      <c r="I549" t="s">
        <v>36</v>
      </c>
      <c r="L549" t="str">
        <f t="shared" si="42"/>
        <v>2020/01/17</v>
      </c>
      <c r="M549" t="e">
        <f t="shared" si="43"/>
        <v>#VALUE!</v>
      </c>
      <c r="N549" t="s">
        <v>28</v>
      </c>
    </row>
    <row r="550" spans="3:14" x14ac:dyDescent="0.2">
      <c r="C550" t="s">
        <v>6</v>
      </c>
      <c r="D550">
        <v>609145</v>
      </c>
      <c r="E550">
        <v>1241</v>
      </c>
      <c r="F550">
        <f>M550-L550</f>
        <v>27</v>
      </c>
      <c r="I550" t="s">
        <v>178</v>
      </c>
      <c r="J550" t="s">
        <v>179</v>
      </c>
      <c r="L550" t="str">
        <f t="shared" si="42"/>
        <v>2020/01/04</v>
      </c>
      <c r="M550" t="str">
        <f t="shared" si="43"/>
        <v>2020/01/31</v>
      </c>
      <c r="N550" t="s">
        <v>9</v>
      </c>
    </row>
    <row r="551" spans="3:14" x14ac:dyDescent="0.2">
      <c r="C551" t="s">
        <v>6</v>
      </c>
      <c r="D551">
        <v>81239</v>
      </c>
      <c r="E551">
        <v>200</v>
      </c>
      <c r="F551">
        <f>M551-L551</f>
        <v>25</v>
      </c>
      <c r="I551" t="s">
        <v>343</v>
      </c>
      <c r="J551" t="s">
        <v>344</v>
      </c>
      <c r="L551" t="str">
        <f t="shared" si="42"/>
        <v>2020/01/16</v>
      </c>
      <c r="M551" t="str">
        <f t="shared" si="43"/>
        <v>2020/02/10</v>
      </c>
      <c r="N551" t="s">
        <v>9</v>
      </c>
    </row>
    <row r="552" spans="3:14" x14ac:dyDescent="0.2">
      <c r="C552" t="s">
        <v>6</v>
      </c>
      <c r="D552">
        <v>277</v>
      </c>
      <c r="E552">
        <v>1</v>
      </c>
      <c r="F552">
        <f>M552-L552</f>
        <v>10</v>
      </c>
      <c r="I552" t="s">
        <v>7</v>
      </c>
      <c r="J552" t="s">
        <v>8</v>
      </c>
      <c r="L552" t="str">
        <f t="shared" si="42"/>
        <v>2020/02/23</v>
      </c>
      <c r="M552" t="str">
        <f t="shared" si="43"/>
        <v>2020/03/04</v>
      </c>
      <c r="N552" t="s">
        <v>9</v>
      </c>
    </row>
    <row r="553" spans="3:14" hidden="1" x14ac:dyDescent="0.2">
      <c r="C553" t="s">
        <v>10</v>
      </c>
      <c r="D553">
        <v>588</v>
      </c>
      <c r="E553">
        <v>0</v>
      </c>
      <c r="I553" t="s">
        <v>36</v>
      </c>
      <c r="L553" t="str">
        <f t="shared" si="42"/>
        <v>2020/01/17</v>
      </c>
      <c r="M553" t="e">
        <f t="shared" si="43"/>
        <v>#VALUE!</v>
      </c>
      <c r="N553" t="s">
        <v>28</v>
      </c>
    </row>
    <row r="554" spans="3:14" x14ac:dyDescent="0.2">
      <c r="C554" t="s">
        <v>6</v>
      </c>
      <c r="D554">
        <v>23745</v>
      </c>
      <c r="E554">
        <v>91</v>
      </c>
      <c r="F554">
        <f>M554-L554</f>
        <v>10</v>
      </c>
      <c r="I554" t="s">
        <v>140</v>
      </c>
      <c r="J554" t="s">
        <v>24</v>
      </c>
      <c r="L554" t="str">
        <f t="shared" si="42"/>
        <v>2020/02/23</v>
      </c>
      <c r="M554" t="str">
        <f t="shared" si="43"/>
        <v>2020/03/04</v>
      </c>
      <c r="N554" t="s">
        <v>9</v>
      </c>
    </row>
    <row r="555" spans="3:14" hidden="1" x14ac:dyDescent="0.2">
      <c r="C555" t="s">
        <v>56</v>
      </c>
      <c r="D555">
        <v>32055</v>
      </c>
      <c r="E555">
        <v>54</v>
      </c>
      <c r="F555">
        <f>M555-L555</f>
        <v>8</v>
      </c>
      <c r="I555" t="s">
        <v>97</v>
      </c>
      <c r="J555" t="s">
        <v>239</v>
      </c>
      <c r="L555" t="str">
        <f t="shared" si="42"/>
        <v>2020/01/20</v>
      </c>
      <c r="M555" t="str">
        <f t="shared" si="43"/>
        <v>2020/01/28</v>
      </c>
      <c r="N555" t="s">
        <v>59</v>
      </c>
    </row>
    <row r="556" spans="3:14" hidden="1" x14ac:dyDescent="0.2">
      <c r="C556" t="s">
        <v>10</v>
      </c>
      <c r="D556">
        <v>3058</v>
      </c>
      <c r="E556">
        <v>1</v>
      </c>
      <c r="I556" t="s">
        <v>27</v>
      </c>
      <c r="L556" t="str">
        <f t="shared" si="42"/>
        <v>2020/01/17</v>
      </c>
      <c r="M556" t="e">
        <f t="shared" si="43"/>
        <v>#VALUE!</v>
      </c>
      <c r="N556" t="s">
        <v>28</v>
      </c>
    </row>
    <row r="557" spans="3:14" x14ac:dyDescent="0.2">
      <c r="C557" t="s">
        <v>6</v>
      </c>
      <c r="D557">
        <v>1795623</v>
      </c>
      <c r="E557">
        <v>2083</v>
      </c>
      <c r="F557">
        <f>M557-L557</f>
        <v>63</v>
      </c>
      <c r="I557" t="s">
        <v>18</v>
      </c>
      <c r="J557" t="s">
        <v>15</v>
      </c>
      <c r="L557" t="str">
        <f t="shared" si="42"/>
        <v>2020/01/29</v>
      </c>
      <c r="M557" t="str">
        <f t="shared" si="43"/>
        <v>2020/04/01</v>
      </c>
      <c r="N557" t="s">
        <v>9</v>
      </c>
    </row>
    <row r="558" spans="3:14" hidden="1" x14ac:dyDescent="0.2">
      <c r="C558" t="s">
        <v>6</v>
      </c>
      <c r="D558">
        <v>13396</v>
      </c>
      <c r="E558">
        <v>23</v>
      </c>
      <c r="I558" t="s">
        <v>345</v>
      </c>
      <c r="L558" t="str">
        <f t="shared" si="42"/>
        <v>2020/02/21</v>
      </c>
      <c r="M558" t="e">
        <f t="shared" si="43"/>
        <v>#VALUE!</v>
      </c>
      <c r="N558" t="s">
        <v>9</v>
      </c>
    </row>
    <row r="559" spans="3:14" hidden="1" x14ac:dyDescent="0.2">
      <c r="C559" t="s">
        <v>6</v>
      </c>
      <c r="D559">
        <v>38880</v>
      </c>
      <c r="E559">
        <v>95</v>
      </c>
      <c r="I559" t="s">
        <v>346</v>
      </c>
      <c r="L559" t="str">
        <f t="shared" si="42"/>
        <v>2020/02/14</v>
      </c>
      <c r="M559" t="e">
        <f t="shared" si="43"/>
        <v>#VALUE!</v>
      </c>
      <c r="N559" t="s">
        <v>9</v>
      </c>
    </row>
    <row r="560" spans="3:14" x14ac:dyDescent="0.2">
      <c r="C560" t="s">
        <v>6</v>
      </c>
      <c r="D560">
        <v>53960</v>
      </c>
      <c r="E560">
        <v>108</v>
      </c>
      <c r="F560">
        <f>M560-L560</f>
        <v>26</v>
      </c>
      <c r="I560" t="s">
        <v>60</v>
      </c>
      <c r="J560" t="s">
        <v>61</v>
      </c>
      <c r="L560" t="str">
        <f t="shared" si="42"/>
        <v>2020/02/04</v>
      </c>
      <c r="M560" t="str">
        <f t="shared" si="43"/>
        <v>2020/03/01</v>
      </c>
      <c r="N560" t="s">
        <v>9</v>
      </c>
    </row>
    <row r="561" spans="3:14" x14ac:dyDescent="0.2">
      <c r="C561" t="s">
        <v>6</v>
      </c>
      <c r="D561">
        <v>427200</v>
      </c>
      <c r="E561">
        <v>1244</v>
      </c>
      <c r="F561">
        <f>M561-L561</f>
        <v>29</v>
      </c>
      <c r="I561" t="s">
        <v>170</v>
      </c>
      <c r="J561" t="s">
        <v>171</v>
      </c>
      <c r="L561" t="str">
        <f t="shared" si="42"/>
        <v>2020/02/01</v>
      </c>
      <c r="M561" t="str">
        <f t="shared" si="43"/>
        <v>2020/03/01</v>
      </c>
      <c r="N561" t="s">
        <v>9</v>
      </c>
    </row>
    <row r="562" spans="3:14" x14ac:dyDescent="0.2">
      <c r="C562" t="s">
        <v>6</v>
      </c>
      <c r="D562">
        <v>25112803</v>
      </c>
      <c r="E562">
        <v>41595</v>
      </c>
      <c r="F562">
        <f>M562-L562</f>
        <v>21</v>
      </c>
      <c r="I562" t="s">
        <v>149</v>
      </c>
      <c r="J562" t="s">
        <v>150</v>
      </c>
      <c r="L562" t="str">
        <f t="shared" si="42"/>
        <v>2020/01/08</v>
      </c>
      <c r="M562" t="str">
        <f t="shared" si="43"/>
        <v>2020/01/29</v>
      </c>
      <c r="N562" t="s">
        <v>9</v>
      </c>
    </row>
    <row r="563" spans="3:14" hidden="1" x14ac:dyDescent="0.2">
      <c r="C563" t="s">
        <v>6</v>
      </c>
      <c r="D563">
        <v>1004908</v>
      </c>
      <c r="E563">
        <v>1209</v>
      </c>
      <c r="I563" t="s">
        <v>347</v>
      </c>
      <c r="L563" t="str">
        <f t="shared" si="42"/>
        <v>2020/02/03</v>
      </c>
      <c r="M563" t="e">
        <f t="shared" si="43"/>
        <v>#VALUE!</v>
      </c>
      <c r="N563" t="s">
        <v>9</v>
      </c>
    </row>
    <row r="564" spans="3:14" x14ac:dyDescent="0.2">
      <c r="C564" t="s">
        <v>6</v>
      </c>
      <c r="D564">
        <v>15330</v>
      </c>
      <c r="E564">
        <v>136</v>
      </c>
      <c r="F564">
        <f>M564-L564</f>
        <v>27</v>
      </c>
      <c r="I564" t="s">
        <v>47</v>
      </c>
      <c r="J564" t="s">
        <v>8</v>
      </c>
      <c r="L564" t="str">
        <f t="shared" si="42"/>
        <v>2020/02/06</v>
      </c>
      <c r="M564" t="str">
        <f t="shared" si="43"/>
        <v>2020/03/04</v>
      </c>
      <c r="N564" t="s">
        <v>9</v>
      </c>
    </row>
    <row r="565" spans="3:14" x14ac:dyDescent="0.2">
      <c r="C565" t="s">
        <v>6</v>
      </c>
      <c r="D565">
        <v>577345</v>
      </c>
      <c r="E565">
        <v>988</v>
      </c>
      <c r="F565">
        <f>M565-L565</f>
        <v>29</v>
      </c>
      <c r="I565" t="s">
        <v>170</v>
      </c>
      <c r="J565" t="s">
        <v>171</v>
      </c>
      <c r="L565" t="str">
        <f t="shared" si="42"/>
        <v>2020/02/01</v>
      </c>
      <c r="M565" t="str">
        <f t="shared" si="43"/>
        <v>2020/03/01</v>
      </c>
      <c r="N565" t="s">
        <v>9</v>
      </c>
    </row>
    <row r="566" spans="3:14" x14ac:dyDescent="0.2">
      <c r="C566" t="s">
        <v>6</v>
      </c>
      <c r="D566">
        <v>776680</v>
      </c>
      <c r="E566">
        <v>1903</v>
      </c>
      <c r="F566">
        <f>M566-L566</f>
        <v>32</v>
      </c>
      <c r="I566" t="s">
        <v>72</v>
      </c>
      <c r="J566" t="s">
        <v>104</v>
      </c>
      <c r="L566" t="str">
        <f t="shared" si="42"/>
        <v>2020/01/03</v>
      </c>
      <c r="M566" t="str">
        <f t="shared" si="43"/>
        <v>2020/02/04</v>
      </c>
      <c r="N566" t="s">
        <v>9</v>
      </c>
    </row>
    <row r="567" spans="3:14" x14ac:dyDescent="0.2">
      <c r="C567" t="s">
        <v>6</v>
      </c>
      <c r="D567">
        <v>1065452</v>
      </c>
      <c r="E567">
        <v>1306</v>
      </c>
      <c r="F567">
        <f>M567-L567</f>
        <v>63</v>
      </c>
      <c r="I567" t="s">
        <v>18</v>
      </c>
      <c r="J567" t="s">
        <v>15</v>
      </c>
      <c r="L567" t="str">
        <f t="shared" si="42"/>
        <v>2020/01/29</v>
      </c>
      <c r="M567" t="str">
        <f t="shared" si="43"/>
        <v>2020/04/01</v>
      </c>
      <c r="N567" t="s">
        <v>9</v>
      </c>
    </row>
    <row r="568" spans="3:14" x14ac:dyDescent="0.2">
      <c r="C568" t="s">
        <v>6</v>
      </c>
      <c r="D568">
        <v>67938</v>
      </c>
      <c r="E568">
        <v>153</v>
      </c>
      <c r="F568">
        <f>M568-L568</f>
        <v>12</v>
      </c>
      <c r="I568" t="s">
        <v>19</v>
      </c>
      <c r="J568" t="s">
        <v>26</v>
      </c>
      <c r="L568" t="str">
        <f t="shared" si="42"/>
        <v>2020/01/23</v>
      </c>
      <c r="M568" t="str">
        <f t="shared" si="43"/>
        <v>2020/02/04</v>
      </c>
      <c r="N568" t="s">
        <v>9</v>
      </c>
    </row>
    <row r="569" spans="3:14" hidden="1" x14ac:dyDescent="0.2">
      <c r="C569" t="s">
        <v>6</v>
      </c>
      <c r="D569">
        <v>648112</v>
      </c>
      <c r="E569">
        <v>491</v>
      </c>
      <c r="I569" t="s">
        <v>348</v>
      </c>
      <c r="L569" t="str">
        <f t="shared" si="42"/>
        <v>2020/02/07</v>
      </c>
      <c r="M569" t="e">
        <f t="shared" si="43"/>
        <v>#VALUE!</v>
      </c>
      <c r="N569" t="s">
        <v>9</v>
      </c>
    </row>
    <row r="570" spans="3:14" x14ac:dyDescent="0.2">
      <c r="C570" t="s">
        <v>6</v>
      </c>
      <c r="D570">
        <v>55793</v>
      </c>
      <c r="E570">
        <v>495</v>
      </c>
      <c r="F570">
        <f>M570-L570</f>
        <v>27</v>
      </c>
      <c r="I570" t="s">
        <v>31</v>
      </c>
      <c r="J570" t="s">
        <v>24</v>
      </c>
      <c r="L570" t="str">
        <f t="shared" si="42"/>
        <v>2020/02/06</v>
      </c>
      <c r="M570" t="str">
        <f t="shared" si="43"/>
        <v>2020/03/04</v>
      </c>
      <c r="N570" t="s">
        <v>9</v>
      </c>
    </row>
    <row r="571" spans="3:14" hidden="1" x14ac:dyDescent="0.2">
      <c r="C571" t="s">
        <v>6</v>
      </c>
      <c r="D571">
        <v>91604</v>
      </c>
      <c r="E571">
        <v>145</v>
      </c>
      <c r="I571" t="s">
        <v>349</v>
      </c>
      <c r="L571" t="str">
        <f t="shared" si="42"/>
        <v>2020/01/16</v>
      </c>
      <c r="M571" t="e">
        <f t="shared" si="43"/>
        <v>#VALUE!</v>
      </c>
      <c r="N571" t="s">
        <v>9</v>
      </c>
    </row>
    <row r="572" spans="3:14" hidden="1" x14ac:dyDescent="0.2">
      <c r="C572" t="s">
        <v>6</v>
      </c>
      <c r="D572">
        <v>9438</v>
      </c>
      <c r="E572">
        <v>19</v>
      </c>
      <c r="I572" t="s">
        <v>294</v>
      </c>
      <c r="L572" t="str">
        <f t="shared" si="42"/>
        <v>2020/02/18</v>
      </c>
      <c r="M572" t="e">
        <f t="shared" si="43"/>
        <v>#VALUE!</v>
      </c>
      <c r="N572" t="s">
        <v>9</v>
      </c>
    </row>
    <row r="573" spans="3:14" x14ac:dyDescent="0.2">
      <c r="C573" t="s">
        <v>6</v>
      </c>
      <c r="D573">
        <v>69962</v>
      </c>
      <c r="E573">
        <v>149</v>
      </c>
      <c r="F573">
        <f t="shared" ref="F573:F579" si="45">M573-L573</f>
        <v>12</v>
      </c>
      <c r="I573" t="s">
        <v>19</v>
      </c>
      <c r="J573" t="s">
        <v>26</v>
      </c>
      <c r="L573" t="str">
        <f t="shared" si="42"/>
        <v>2020/01/23</v>
      </c>
      <c r="M573" t="str">
        <f t="shared" si="43"/>
        <v>2020/02/04</v>
      </c>
      <c r="N573" t="s">
        <v>9</v>
      </c>
    </row>
    <row r="574" spans="3:14" x14ac:dyDescent="0.2">
      <c r="C574" t="s">
        <v>6</v>
      </c>
      <c r="D574">
        <v>4688603</v>
      </c>
      <c r="E574">
        <v>9800</v>
      </c>
      <c r="F574">
        <f t="shared" si="45"/>
        <v>8</v>
      </c>
      <c r="I574" t="s">
        <v>62</v>
      </c>
      <c r="J574" t="s">
        <v>63</v>
      </c>
      <c r="L574" t="str">
        <f t="shared" si="42"/>
        <v>2020/02/08</v>
      </c>
      <c r="M574" t="str">
        <f t="shared" si="43"/>
        <v>2020/02/16</v>
      </c>
      <c r="N574" t="s">
        <v>9</v>
      </c>
    </row>
    <row r="575" spans="3:14" hidden="1" x14ac:dyDescent="0.2">
      <c r="C575" t="s">
        <v>10</v>
      </c>
      <c r="D575">
        <v>131968</v>
      </c>
      <c r="E575">
        <v>556</v>
      </c>
      <c r="F575">
        <f t="shared" si="45"/>
        <v>10</v>
      </c>
      <c r="I575" t="s">
        <v>305</v>
      </c>
      <c r="J575" t="s">
        <v>272</v>
      </c>
      <c r="L575" t="str">
        <f t="shared" si="42"/>
        <v>2020/01/23</v>
      </c>
      <c r="M575" t="str">
        <f t="shared" si="43"/>
        <v>2020/02/02</v>
      </c>
      <c r="N575" t="s">
        <v>87</v>
      </c>
    </row>
    <row r="576" spans="3:14" x14ac:dyDescent="0.2">
      <c r="C576" t="s">
        <v>6</v>
      </c>
      <c r="D576">
        <v>10303977</v>
      </c>
      <c r="E576">
        <v>21842</v>
      </c>
      <c r="F576">
        <f t="shared" si="45"/>
        <v>8</v>
      </c>
      <c r="I576" t="s">
        <v>62</v>
      </c>
      <c r="J576" t="s">
        <v>63</v>
      </c>
      <c r="L576" t="str">
        <f t="shared" si="42"/>
        <v>2020/02/08</v>
      </c>
      <c r="M576" t="str">
        <f t="shared" si="43"/>
        <v>2020/02/16</v>
      </c>
      <c r="N576" t="s">
        <v>9</v>
      </c>
    </row>
    <row r="577" spans="1:14" hidden="1" x14ac:dyDescent="0.2">
      <c r="C577" t="s">
        <v>10</v>
      </c>
      <c r="D577">
        <v>526565</v>
      </c>
      <c r="E577">
        <v>418</v>
      </c>
      <c r="F577">
        <f t="shared" si="45"/>
        <v>4</v>
      </c>
      <c r="I577" t="s">
        <v>350</v>
      </c>
      <c r="J577" t="s">
        <v>351</v>
      </c>
      <c r="L577" t="str">
        <f t="shared" si="42"/>
        <v>2020/02/04</v>
      </c>
      <c r="M577" t="str">
        <f t="shared" si="43"/>
        <v>2020/02/08</v>
      </c>
      <c r="N577" t="s">
        <v>28</v>
      </c>
    </row>
    <row r="578" spans="1:14" x14ac:dyDescent="0.2">
      <c r="C578" t="s">
        <v>6</v>
      </c>
      <c r="D578">
        <v>526125</v>
      </c>
      <c r="E578">
        <v>5031</v>
      </c>
      <c r="F578">
        <f t="shared" si="45"/>
        <v>10</v>
      </c>
      <c r="I578" t="s">
        <v>133</v>
      </c>
      <c r="J578" t="s">
        <v>134</v>
      </c>
      <c r="L578" t="str">
        <f t="shared" si="42"/>
        <v>2020/02/22</v>
      </c>
      <c r="M578" t="str">
        <f t="shared" si="43"/>
        <v>2020/03/03</v>
      </c>
      <c r="N578" t="s">
        <v>9</v>
      </c>
    </row>
    <row r="579" spans="1:14" x14ac:dyDescent="0.2">
      <c r="C579" t="s">
        <v>6</v>
      </c>
      <c r="D579">
        <v>97</v>
      </c>
      <c r="E579">
        <v>0</v>
      </c>
      <c r="F579">
        <f t="shared" si="45"/>
        <v>4</v>
      </c>
      <c r="I579" t="s">
        <v>37</v>
      </c>
      <c r="J579" t="s">
        <v>38</v>
      </c>
      <c r="L579" t="str">
        <f t="shared" ref="L579:L642" si="46">LEFT(I579,FIND(" ",I579)-1)</f>
        <v>2020/02/07</v>
      </c>
      <c r="M579" t="str">
        <f t="shared" ref="M579:M642" si="47">LEFT(J579,FIND(" ",J579)-1)</f>
        <v>2020/02/11</v>
      </c>
      <c r="N579" t="s">
        <v>9</v>
      </c>
    </row>
    <row r="580" spans="1:14" hidden="1" x14ac:dyDescent="0.2">
      <c r="C580" t="s">
        <v>6</v>
      </c>
      <c r="D580">
        <v>63780</v>
      </c>
      <c r="E580">
        <v>94</v>
      </c>
      <c r="I580" t="s">
        <v>206</v>
      </c>
      <c r="L580" t="str">
        <f t="shared" si="46"/>
        <v>2020/02/03</v>
      </c>
      <c r="M580" t="e">
        <f t="shared" si="47"/>
        <v>#VALUE!</v>
      </c>
      <c r="N580" t="s">
        <v>9</v>
      </c>
    </row>
    <row r="581" spans="1:14" hidden="1" x14ac:dyDescent="0.2">
      <c r="C581" t="s">
        <v>10</v>
      </c>
      <c r="D581">
        <v>845</v>
      </c>
      <c r="E581">
        <v>0</v>
      </c>
      <c r="I581" t="s">
        <v>36</v>
      </c>
      <c r="L581" t="str">
        <f t="shared" si="46"/>
        <v>2020/01/17</v>
      </c>
      <c r="M581" t="e">
        <f t="shared" si="47"/>
        <v>#VALUE!</v>
      </c>
      <c r="N581" t="s">
        <v>28</v>
      </c>
    </row>
    <row r="582" spans="1:14" x14ac:dyDescent="0.2">
      <c r="C582" t="s">
        <v>6</v>
      </c>
      <c r="D582">
        <v>125337</v>
      </c>
      <c r="E582">
        <v>934</v>
      </c>
      <c r="F582">
        <f t="shared" ref="F582:F595" si="48">M582-L582</f>
        <v>27</v>
      </c>
      <c r="I582" t="s">
        <v>31</v>
      </c>
      <c r="J582" t="s">
        <v>24</v>
      </c>
      <c r="L582" t="str">
        <f t="shared" si="46"/>
        <v>2020/02/06</v>
      </c>
      <c r="M582" t="str">
        <f t="shared" si="47"/>
        <v>2020/03/04</v>
      </c>
      <c r="N582" t="s">
        <v>9</v>
      </c>
    </row>
    <row r="583" spans="1:14" hidden="1" x14ac:dyDescent="0.2">
      <c r="C583" t="s">
        <v>56</v>
      </c>
      <c r="D583">
        <v>161893</v>
      </c>
      <c r="E583">
        <v>167</v>
      </c>
      <c r="F583">
        <f t="shared" si="48"/>
        <v>41</v>
      </c>
      <c r="I583" t="s">
        <v>57</v>
      </c>
      <c r="J583" t="s">
        <v>58</v>
      </c>
      <c r="L583" t="str">
        <f t="shared" si="46"/>
        <v>2020/01/21</v>
      </c>
      <c r="M583" t="str">
        <f t="shared" si="47"/>
        <v>2020/03/02</v>
      </c>
      <c r="N583" t="s">
        <v>59</v>
      </c>
    </row>
    <row r="584" spans="1:14" x14ac:dyDescent="0.2">
      <c r="C584" t="s">
        <v>6</v>
      </c>
      <c r="D584">
        <v>87630</v>
      </c>
      <c r="E584">
        <v>698</v>
      </c>
      <c r="F584">
        <f t="shared" si="48"/>
        <v>27</v>
      </c>
      <c r="I584" t="s">
        <v>103</v>
      </c>
      <c r="J584" t="s">
        <v>24</v>
      </c>
      <c r="L584" t="str">
        <f t="shared" si="46"/>
        <v>2020/02/06</v>
      </c>
      <c r="M584" t="str">
        <f t="shared" si="47"/>
        <v>2020/03/04</v>
      </c>
      <c r="N584" t="s">
        <v>9</v>
      </c>
    </row>
    <row r="585" spans="1:14" x14ac:dyDescent="0.2">
      <c r="C585" t="s">
        <v>6</v>
      </c>
      <c r="D585">
        <v>327183</v>
      </c>
      <c r="E585">
        <v>750</v>
      </c>
      <c r="F585">
        <f t="shared" si="48"/>
        <v>31</v>
      </c>
      <c r="I585" t="s">
        <v>45</v>
      </c>
      <c r="J585" t="s">
        <v>46</v>
      </c>
      <c r="L585" t="str">
        <f t="shared" si="46"/>
        <v>2020/01/01</v>
      </c>
      <c r="M585" t="str">
        <f t="shared" si="47"/>
        <v>2020/02/01</v>
      </c>
      <c r="N585" t="s">
        <v>9</v>
      </c>
    </row>
    <row r="586" spans="1:14" x14ac:dyDescent="0.2">
      <c r="C586" t="s">
        <v>6</v>
      </c>
      <c r="D586">
        <v>144678</v>
      </c>
      <c r="E586">
        <v>289</v>
      </c>
      <c r="F586">
        <f t="shared" si="48"/>
        <v>26</v>
      </c>
      <c r="I586" t="s">
        <v>60</v>
      </c>
      <c r="J586" t="s">
        <v>61</v>
      </c>
      <c r="L586" t="str">
        <f t="shared" si="46"/>
        <v>2020/02/04</v>
      </c>
      <c r="M586" t="str">
        <f t="shared" si="47"/>
        <v>2020/03/01</v>
      </c>
      <c r="N586" t="s">
        <v>9</v>
      </c>
    </row>
    <row r="587" spans="1:14" hidden="1" x14ac:dyDescent="0.2">
      <c r="C587" t="s">
        <v>10</v>
      </c>
      <c r="D587">
        <v>1653844</v>
      </c>
      <c r="E587">
        <v>788</v>
      </c>
      <c r="F587">
        <f t="shared" si="48"/>
        <v>45</v>
      </c>
      <c r="I587" t="s">
        <v>309</v>
      </c>
      <c r="J587" t="s">
        <v>77</v>
      </c>
      <c r="L587" t="str">
        <f t="shared" si="46"/>
        <v>2020/01/16</v>
      </c>
      <c r="M587" t="str">
        <f t="shared" si="47"/>
        <v>2020/03/01</v>
      </c>
      <c r="N587" t="s">
        <v>78</v>
      </c>
    </row>
    <row r="588" spans="1:14" x14ac:dyDescent="0.2">
      <c r="C588" t="s">
        <v>6</v>
      </c>
      <c r="D588">
        <v>64790</v>
      </c>
      <c r="E588">
        <v>111</v>
      </c>
      <c r="F588">
        <f t="shared" si="48"/>
        <v>12</v>
      </c>
      <c r="I588" t="s">
        <v>19</v>
      </c>
      <c r="J588" t="s">
        <v>20</v>
      </c>
      <c r="L588" t="str">
        <f t="shared" si="46"/>
        <v>2020/01/23</v>
      </c>
      <c r="M588" t="str">
        <f t="shared" si="47"/>
        <v>2020/02/04</v>
      </c>
      <c r="N588" t="s">
        <v>9</v>
      </c>
    </row>
    <row r="589" spans="1:14" x14ac:dyDescent="0.2">
      <c r="C589" t="s">
        <v>6</v>
      </c>
      <c r="D589">
        <v>443774</v>
      </c>
      <c r="E589">
        <v>928</v>
      </c>
      <c r="F589">
        <f t="shared" si="48"/>
        <v>63</v>
      </c>
      <c r="I589" t="s">
        <v>18</v>
      </c>
      <c r="J589" t="s">
        <v>15</v>
      </c>
      <c r="L589" t="str">
        <f t="shared" si="46"/>
        <v>2020/01/29</v>
      </c>
      <c r="M589" t="str">
        <f t="shared" si="47"/>
        <v>2020/04/01</v>
      </c>
      <c r="N589" t="s">
        <v>9</v>
      </c>
    </row>
    <row r="590" spans="1:14" x14ac:dyDescent="0.2">
      <c r="C590" t="s">
        <v>6</v>
      </c>
      <c r="D590">
        <v>466961</v>
      </c>
      <c r="E590">
        <v>936</v>
      </c>
      <c r="F590">
        <f t="shared" si="48"/>
        <v>12</v>
      </c>
      <c r="I590" t="s">
        <v>55</v>
      </c>
      <c r="J590" t="s">
        <v>46</v>
      </c>
      <c r="L590" t="str">
        <f t="shared" si="46"/>
        <v>2020/01/20</v>
      </c>
      <c r="M590" t="str">
        <f t="shared" si="47"/>
        <v>2020/02/01</v>
      </c>
      <c r="N590" t="s">
        <v>9</v>
      </c>
    </row>
    <row r="591" spans="1:14" x14ac:dyDescent="0.2">
      <c r="C591" t="s">
        <v>6</v>
      </c>
      <c r="D591">
        <v>59502</v>
      </c>
      <c r="E591">
        <v>150</v>
      </c>
      <c r="F591">
        <f t="shared" si="48"/>
        <v>7</v>
      </c>
      <c r="I591" t="s">
        <v>352</v>
      </c>
      <c r="J591" t="s">
        <v>319</v>
      </c>
      <c r="L591" t="str">
        <f t="shared" si="46"/>
        <v>2020/02/04</v>
      </c>
      <c r="M591" t="str">
        <f t="shared" si="47"/>
        <v>2020/02/11</v>
      </c>
      <c r="N591" t="s">
        <v>9</v>
      </c>
    </row>
    <row r="592" spans="1:14" x14ac:dyDescent="0.2">
      <c r="A592" s="1"/>
      <c r="C592" t="s">
        <v>6</v>
      </c>
      <c r="D592">
        <v>2067537</v>
      </c>
      <c r="E592">
        <v>3069</v>
      </c>
      <c r="F592">
        <f t="shared" si="48"/>
        <v>17</v>
      </c>
      <c r="I592" t="s">
        <v>189</v>
      </c>
      <c r="J592" t="s">
        <v>190</v>
      </c>
      <c r="L592" t="str">
        <f t="shared" si="46"/>
        <v>2020/01/22</v>
      </c>
      <c r="M592" t="str">
        <f t="shared" si="47"/>
        <v>2020/02/08</v>
      </c>
      <c r="N592" t="s">
        <v>9</v>
      </c>
    </row>
    <row r="593" spans="3:14" hidden="1" x14ac:dyDescent="0.2">
      <c r="C593" t="s">
        <v>39</v>
      </c>
      <c r="D593">
        <v>32463</v>
      </c>
      <c r="E593">
        <v>74</v>
      </c>
      <c r="F593">
        <f t="shared" si="48"/>
        <v>343</v>
      </c>
      <c r="I593" t="s">
        <v>83</v>
      </c>
      <c r="J593" t="s">
        <v>84</v>
      </c>
      <c r="L593" t="str">
        <f t="shared" si="46"/>
        <v>2020/01/24</v>
      </c>
      <c r="M593" t="str">
        <f t="shared" si="47"/>
        <v>2021/01/01</v>
      </c>
      <c r="N593" t="s">
        <v>41</v>
      </c>
    </row>
    <row r="594" spans="3:14" x14ac:dyDescent="0.2">
      <c r="C594" t="s">
        <v>6</v>
      </c>
      <c r="D594">
        <v>6959</v>
      </c>
      <c r="E594">
        <v>65</v>
      </c>
      <c r="F594">
        <f t="shared" si="48"/>
        <v>27</v>
      </c>
      <c r="I594" t="s">
        <v>90</v>
      </c>
      <c r="J594" t="s">
        <v>91</v>
      </c>
      <c r="L594" t="str">
        <f t="shared" si="46"/>
        <v>2020/02/06</v>
      </c>
      <c r="M594" t="str">
        <f t="shared" si="47"/>
        <v>2020/03/04</v>
      </c>
      <c r="N594" t="s">
        <v>9</v>
      </c>
    </row>
    <row r="595" spans="3:14" x14ac:dyDescent="0.2">
      <c r="C595" t="s">
        <v>6</v>
      </c>
      <c r="D595">
        <v>22409</v>
      </c>
      <c r="E595">
        <v>19</v>
      </c>
      <c r="F595">
        <f t="shared" si="48"/>
        <v>1</v>
      </c>
      <c r="I595" t="s">
        <v>353</v>
      </c>
      <c r="J595" t="s">
        <v>354</v>
      </c>
      <c r="L595" t="str">
        <f t="shared" si="46"/>
        <v>2020/01/22</v>
      </c>
      <c r="M595" t="str">
        <f t="shared" si="47"/>
        <v>2020/01/23</v>
      </c>
      <c r="N595" t="s">
        <v>9</v>
      </c>
    </row>
    <row r="596" spans="3:14" hidden="1" x14ac:dyDescent="0.2">
      <c r="C596" t="s">
        <v>6</v>
      </c>
      <c r="D596">
        <v>402580</v>
      </c>
      <c r="E596">
        <v>617</v>
      </c>
      <c r="I596" t="s">
        <v>355</v>
      </c>
      <c r="L596" t="str">
        <f t="shared" si="46"/>
        <v>2020/01/02</v>
      </c>
      <c r="M596" t="e">
        <f t="shared" si="47"/>
        <v>#VALUE!</v>
      </c>
      <c r="N596" t="s">
        <v>9</v>
      </c>
    </row>
    <row r="597" spans="3:14" x14ac:dyDescent="0.2">
      <c r="C597" t="s">
        <v>6</v>
      </c>
      <c r="D597">
        <v>1</v>
      </c>
      <c r="E597">
        <v>0</v>
      </c>
      <c r="F597">
        <f t="shared" ref="F597:F608" si="49">M597-L597</f>
        <v>0</v>
      </c>
      <c r="I597" t="s">
        <v>356</v>
      </c>
      <c r="J597" t="s">
        <v>217</v>
      </c>
      <c r="L597" t="str">
        <f t="shared" si="46"/>
        <v>2020/02/01</v>
      </c>
      <c r="M597" t="str">
        <f t="shared" si="47"/>
        <v>2020/02/01</v>
      </c>
      <c r="N597" t="s">
        <v>9</v>
      </c>
    </row>
    <row r="598" spans="3:14" x14ac:dyDescent="0.2">
      <c r="C598" t="s">
        <v>6</v>
      </c>
      <c r="D598">
        <v>106794</v>
      </c>
      <c r="E598">
        <v>152</v>
      </c>
      <c r="F598">
        <f t="shared" si="49"/>
        <v>35</v>
      </c>
      <c r="I598" t="s">
        <v>64</v>
      </c>
      <c r="J598" t="s">
        <v>65</v>
      </c>
      <c r="L598" t="str">
        <f t="shared" si="46"/>
        <v>2020/01/23</v>
      </c>
      <c r="M598" t="str">
        <f t="shared" si="47"/>
        <v>2020/02/27</v>
      </c>
      <c r="N598" t="s">
        <v>9</v>
      </c>
    </row>
    <row r="599" spans="3:14" x14ac:dyDescent="0.2">
      <c r="C599" t="s">
        <v>6</v>
      </c>
      <c r="D599">
        <v>173703</v>
      </c>
      <c r="E599">
        <v>351</v>
      </c>
      <c r="F599">
        <f t="shared" si="49"/>
        <v>32</v>
      </c>
      <c r="I599" t="s">
        <v>72</v>
      </c>
      <c r="J599" t="s">
        <v>104</v>
      </c>
      <c r="L599" t="str">
        <f t="shared" si="46"/>
        <v>2020/01/03</v>
      </c>
      <c r="M599" t="str">
        <f t="shared" si="47"/>
        <v>2020/02/04</v>
      </c>
      <c r="N599" t="s">
        <v>9</v>
      </c>
    </row>
    <row r="600" spans="3:14" x14ac:dyDescent="0.2">
      <c r="C600" t="s">
        <v>6</v>
      </c>
      <c r="D600">
        <v>3531568</v>
      </c>
      <c r="E600">
        <v>8314</v>
      </c>
      <c r="F600">
        <f t="shared" si="49"/>
        <v>84</v>
      </c>
      <c r="I600" t="s">
        <v>14</v>
      </c>
      <c r="J600" t="s">
        <v>15</v>
      </c>
      <c r="L600" t="str">
        <f t="shared" si="46"/>
        <v>2020/01/08</v>
      </c>
      <c r="M600" t="str">
        <f t="shared" si="47"/>
        <v>2020/04/01</v>
      </c>
      <c r="N600" t="s">
        <v>9</v>
      </c>
    </row>
    <row r="601" spans="3:14" hidden="1" x14ac:dyDescent="0.2">
      <c r="C601" t="s">
        <v>39</v>
      </c>
      <c r="D601">
        <v>874977</v>
      </c>
      <c r="E601">
        <v>1000</v>
      </c>
      <c r="F601">
        <f t="shared" si="49"/>
        <v>18</v>
      </c>
      <c r="I601" t="s">
        <v>357</v>
      </c>
      <c r="J601" t="s">
        <v>312</v>
      </c>
      <c r="L601" t="str">
        <f t="shared" si="46"/>
        <v>2020/01/23</v>
      </c>
      <c r="M601" t="str">
        <f t="shared" si="47"/>
        <v>2020/02/10</v>
      </c>
      <c r="N601" t="s">
        <v>41</v>
      </c>
    </row>
    <row r="602" spans="3:14" x14ac:dyDescent="0.2">
      <c r="C602" t="s">
        <v>6</v>
      </c>
      <c r="D602">
        <v>14753</v>
      </c>
      <c r="E602">
        <v>56</v>
      </c>
      <c r="F602">
        <f t="shared" si="49"/>
        <v>21</v>
      </c>
      <c r="I602" t="s">
        <v>358</v>
      </c>
      <c r="J602" t="s">
        <v>359</v>
      </c>
      <c r="L602" t="str">
        <f t="shared" si="46"/>
        <v>2020/02/11</v>
      </c>
      <c r="M602" t="str">
        <f t="shared" si="47"/>
        <v>2020/03/03</v>
      </c>
      <c r="N602" t="s">
        <v>9</v>
      </c>
    </row>
    <row r="603" spans="3:14" hidden="1" x14ac:dyDescent="0.2">
      <c r="C603" t="s">
        <v>127</v>
      </c>
      <c r="D603">
        <v>5035964</v>
      </c>
      <c r="E603">
        <v>5966</v>
      </c>
      <c r="F603">
        <f t="shared" si="49"/>
        <v>26</v>
      </c>
      <c r="I603" t="s">
        <v>208</v>
      </c>
      <c r="J603" t="s">
        <v>209</v>
      </c>
      <c r="L603" t="str">
        <f t="shared" si="46"/>
        <v>2020/01/27</v>
      </c>
      <c r="M603" t="str">
        <f t="shared" si="47"/>
        <v>2020/02/22</v>
      </c>
      <c r="N603" t="s">
        <v>130</v>
      </c>
    </row>
    <row r="604" spans="3:14" x14ac:dyDescent="0.2">
      <c r="C604" t="s">
        <v>6</v>
      </c>
      <c r="D604">
        <v>84803</v>
      </c>
      <c r="E604">
        <v>195</v>
      </c>
      <c r="F604">
        <f t="shared" si="49"/>
        <v>226</v>
      </c>
      <c r="I604" t="s">
        <v>21</v>
      </c>
      <c r="J604" t="s">
        <v>22</v>
      </c>
      <c r="L604" t="str">
        <f t="shared" si="46"/>
        <v>2019/10/18</v>
      </c>
      <c r="M604" t="str">
        <f t="shared" si="47"/>
        <v>2020/05/31</v>
      </c>
      <c r="N604" t="s">
        <v>9</v>
      </c>
    </row>
    <row r="605" spans="3:14" hidden="1" x14ac:dyDescent="0.2">
      <c r="C605" t="s">
        <v>10</v>
      </c>
      <c r="D605">
        <v>4009551</v>
      </c>
      <c r="E605">
        <v>777</v>
      </c>
      <c r="F605">
        <f t="shared" si="49"/>
        <v>16</v>
      </c>
      <c r="I605" t="s">
        <v>271</v>
      </c>
      <c r="J605" t="s">
        <v>272</v>
      </c>
      <c r="L605" t="str">
        <f t="shared" si="46"/>
        <v>2020/01/17</v>
      </c>
      <c r="M605" t="str">
        <f t="shared" si="47"/>
        <v>2020/02/02</v>
      </c>
      <c r="N605" t="s">
        <v>78</v>
      </c>
    </row>
    <row r="606" spans="3:14" hidden="1" x14ac:dyDescent="0.2">
      <c r="C606" t="s">
        <v>10</v>
      </c>
      <c r="D606">
        <v>308299</v>
      </c>
      <c r="E606">
        <v>147</v>
      </c>
      <c r="F606">
        <f t="shared" si="49"/>
        <v>6</v>
      </c>
      <c r="I606" t="s">
        <v>360</v>
      </c>
      <c r="J606" t="s">
        <v>361</v>
      </c>
      <c r="L606" t="str">
        <f t="shared" si="46"/>
        <v>2020/02/07</v>
      </c>
      <c r="M606" t="str">
        <f t="shared" si="47"/>
        <v>2020/02/13</v>
      </c>
      <c r="N606" t="s">
        <v>13</v>
      </c>
    </row>
    <row r="607" spans="3:14" x14ac:dyDescent="0.2">
      <c r="C607" t="s">
        <v>6</v>
      </c>
      <c r="D607">
        <v>257322</v>
      </c>
      <c r="E607">
        <v>725</v>
      </c>
      <c r="F607">
        <f t="shared" si="49"/>
        <v>29</v>
      </c>
      <c r="I607" t="s">
        <v>170</v>
      </c>
      <c r="J607" t="s">
        <v>171</v>
      </c>
      <c r="L607" t="str">
        <f t="shared" si="46"/>
        <v>2020/02/01</v>
      </c>
      <c r="M607" t="str">
        <f t="shared" si="47"/>
        <v>2020/03/01</v>
      </c>
      <c r="N607" t="s">
        <v>9</v>
      </c>
    </row>
    <row r="608" spans="3:14" x14ac:dyDescent="0.2">
      <c r="C608" t="s">
        <v>6</v>
      </c>
      <c r="D608">
        <v>2585</v>
      </c>
      <c r="E608">
        <v>4</v>
      </c>
      <c r="F608">
        <f t="shared" si="49"/>
        <v>12</v>
      </c>
      <c r="I608" t="s">
        <v>19</v>
      </c>
      <c r="J608" t="s">
        <v>20</v>
      </c>
      <c r="L608" t="str">
        <f t="shared" si="46"/>
        <v>2020/01/23</v>
      </c>
      <c r="M608" t="str">
        <f t="shared" si="47"/>
        <v>2020/02/04</v>
      </c>
      <c r="N608" t="s">
        <v>9</v>
      </c>
    </row>
    <row r="609" spans="3:14" hidden="1" x14ac:dyDescent="0.2">
      <c r="C609" t="s">
        <v>10</v>
      </c>
      <c r="D609">
        <v>1507</v>
      </c>
      <c r="E609">
        <v>0</v>
      </c>
      <c r="I609" t="s">
        <v>36</v>
      </c>
      <c r="L609" t="str">
        <f t="shared" si="46"/>
        <v>2020/01/17</v>
      </c>
      <c r="M609" t="e">
        <f t="shared" si="47"/>
        <v>#VALUE!</v>
      </c>
      <c r="N609" t="s">
        <v>28</v>
      </c>
    </row>
    <row r="610" spans="3:14" x14ac:dyDescent="0.2">
      <c r="C610" t="s">
        <v>6</v>
      </c>
      <c r="D610">
        <v>926624</v>
      </c>
      <c r="E610">
        <v>2126</v>
      </c>
      <c r="F610">
        <f t="shared" ref="F610:F617" si="50">M610-L610</f>
        <v>29</v>
      </c>
      <c r="I610" t="s">
        <v>170</v>
      </c>
      <c r="J610" t="s">
        <v>171</v>
      </c>
      <c r="L610" t="str">
        <f t="shared" si="46"/>
        <v>2020/02/01</v>
      </c>
      <c r="M610" t="str">
        <f t="shared" si="47"/>
        <v>2020/03/01</v>
      </c>
      <c r="N610" t="s">
        <v>9</v>
      </c>
    </row>
    <row r="611" spans="3:14" x14ac:dyDescent="0.2">
      <c r="C611" t="s">
        <v>6</v>
      </c>
      <c r="D611">
        <v>63097</v>
      </c>
      <c r="E611">
        <v>527</v>
      </c>
      <c r="F611">
        <f t="shared" si="50"/>
        <v>40</v>
      </c>
      <c r="I611" t="s">
        <v>362</v>
      </c>
      <c r="J611" t="s">
        <v>15</v>
      </c>
      <c r="L611" t="str">
        <f t="shared" si="46"/>
        <v>2020/02/21</v>
      </c>
      <c r="M611" t="str">
        <f t="shared" si="47"/>
        <v>2020/04/01</v>
      </c>
      <c r="N611" t="s">
        <v>9</v>
      </c>
    </row>
    <row r="612" spans="3:14" x14ac:dyDescent="0.2">
      <c r="C612" t="s">
        <v>6</v>
      </c>
      <c r="D612">
        <v>106725</v>
      </c>
      <c r="E612">
        <v>186</v>
      </c>
      <c r="F612">
        <f t="shared" si="50"/>
        <v>12</v>
      </c>
      <c r="I612" t="s">
        <v>19</v>
      </c>
      <c r="J612" t="s">
        <v>20</v>
      </c>
      <c r="L612" t="str">
        <f t="shared" si="46"/>
        <v>2020/01/23</v>
      </c>
      <c r="M612" t="str">
        <f t="shared" si="47"/>
        <v>2020/02/04</v>
      </c>
      <c r="N612" t="s">
        <v>9</v>
      </c>
    </row>
    <row r="613" spans="3:14" x14ac:dyDescent="0.2">
      <c r="C613" t="s">
        <v>6</v>
      </c>
      <c r="D613">
        <v>1455</v>
      </c>
      <c r="E613">
        <v>5</v>
      </c>
      <c r="F613">
        <f t="shared" si="50"/>
        <v>10</v>
      </c>
      <c r="I613" t="s">
        <v>7</v>
      </c>
      <c r="J613" t="s">
        <v>8</v>
      </c>
      <c r="L613" t="str">
        <f t="shared" si="46"/>
        <v>2020/02/23</v>
      </c>
      <c r="M613" t="str">
        <f t="shared" si="47"/>
        <v>2020/03/04</v>
      </c>
      <c r="N613" t="s">
        <v>9</v>
      </c>
    </row>
    <row r="614" spans="3:14" x14ac:dyDescent="0.2">
      <c r="C614" t="s">
        <v>6</v>
      </c>
      <c r="D614">
        <v>1031791</v>
      </c>
      <c r="E614">
        <v>2094</v>
      </c>
      <c r="F614">
        <f t="shared" si="50"/>
        <v>29</v>
      </c>
      <c r="I614" t="s">
        <v>94</v>
      </c>
      <c r="J614" t="s">
        <v>61</v>
      </c>
      <c r="L614" t="str">
        <f t="shared" si="46"/>
        <v>2020/02/01</v>
      </c>
      <c r="M614" t="str">
        <f t="shared" si="47"/>
        <v>2020/03/01</v>
      </c>
      <c r="N614" t="s">
        <v>9</v>
      </c>
    </row>
    <row r="615" spans="3:14" hidden="1" x14ac:dyDescent="0.2">
      <c r="C615" t="s">
        <v>39</v>
      </c>
      <c r="D615">
        <v>386096</v>
      </c>
      <c r="E615">
        <v>1152</v>
      </c>
      <c r="F615">
        <f t="shared" si="50"/>
        <v>343</v>
      </c>
      <c r="I615" t="s">
        <v>83</v>
      </c>
      <c r="J615" t="s">
        <v>84</v>
      </c>
      <c r="L615" t="str">
        <f t="shared" si="46"/>
        <v>2020/01/24</v>
      </c>
      <c r="M615" t="str">
        <f t="shared" si="47"/>
        <v>2021/01/01</v>
      </c>
      <c r="N615" t="s">
        <v>41</v>
      </c>
    </row>
    <row r="616" spans="3:14" x14ac:dyDescent="0.2">
      <c r="C616" t="s">
        <v>6</v>
      </c>
      <c r="D616">
        <v>1867713</v>
      </c>
      <c r="E616">
        <v>6413</v>
      </c>
      <c r="F616">
        <f t="shared" si="50"/>
        <v>24</v>
      </c>
      <c r="I616" t="s">
        <v>51</v>
      </c>
      <c r="J616" t="s">
        <v>52</v>
      </c>
      <c r="L616" t="str">
        <f t="shared" si="46"/>
        <v>2020/02/06</v>
      </c>
      <c r="M616" t="str">
        <f t="shared" si="47"/>
        <v>2020/03/01</v>
      </c>
      <c r="N616" t="s">
        <v>9</v>
      </c>
    </row>
    <row r="617" spans="3:14" x14ac:dyDescent="0.2">
      <c r="C617" t="s">
        <v>6</v>
      </c>
      <c r="D617">
        <v>523136</v>
      </c>
      <c r="E617">
        <v>570</v>
      </c>
      <c r="F617">
        <f t="shared" si="50"/>
        <v>63</v>
      </c>
      <c r="I617" t="s">
        <v>18</v>
      </c>
      <c r="J617" t="s">
        <v>15</v>
      </c>
      <c r="L617" t="str">
        <f t="shared" si="46"/>
        <v>2020/01/29</v>
      </c>
      <c r="M617" t="str">
        <f t="shared" si="47"/>
        <v>2020/04/01</v>
      </c>
      <c r="N617" t="s">
        <v>9</v>
      </c>
    </row>
    <row r="618" spans="3:14" hidden="1" x14ac:dyDescent="0.2">
      <c r="C618" t="s">
        <v>10</v>
      </c>
      <c r="D618">
        <v>35988</v>
      </c>
      <c r="E618">
        <v>65</v>
      </c>
      <c r="I618" t="s">
        <v>363</v>
      </c>
      <c r="L618" t="str">
        <f t="shared" si="46"/>
        <v>2020/01/23</v>
      </c>
      <c r="M618" t="e">
        <f t="shared" si="47"/>
        <v>#VALUE!</v>
      </c>
      <c r="N618" t="s">
        <v>28</v>
      </c>
    </row>
    <row r="619" spans="3:14" hidden="1" x14ac:dyDescent="0.2">
      <c r="C619" t="s">
        <v>6</v>
      </c>
      <c r="D619">
        <v>50205</v>
      </c>
      <c r="E619">
        <v>89</v>
      </c>
      <c r="I619" t="s">
        <v>317</v>
      </c>
      <c r="L619" t="str">
        <f t="shared" si="46"/>
        <v>2020/01/22</v>
      </c>
      <c r="M619" t="e">
        <f t="shared" si="47"/>
        <v>#VALUE!</v>
      </c>
      <c r="N619" t="s">
        <v>9</v>
      </c>
    </row>
    <row r="620" spans="3:14" hidden="1" x14ac:dyDescent="0.2">
      <c r="C620" t="s">
        <v>6</v>
      </c>
      <c r="D620">
        <v>57532</v>
      </c>
      <c r="E620">
        <v>51</v>
      </c>
      <c r="I620" t="s">
        <v>364</v>
      </c>
      <c r="L620" t="str">
        <f t="shared" si="46"/>
        <v>2020/01/22</v>
      </c>
      <c r="M620" t="e">
        <f t="shared" si="47"/>
        <v>#VALUE!</v>
      </c>
      <c r="N620" t="s">
        <v>9</v>
      </c>
    </row>
    <row r="621" spans="3:14" hidden="1" x14ac:dyDescent="0.2">
      <c r="C621" t="s">
        <v>10</v>
      </c>
      <c r="D621">
        <v>115612</v>
      </c>
      <c r="E621">
        <v>619</v>
      </c>
      <c r="F621">
        <f t="shared" ref="F621:F631" si="51">M621-L621</f>
        <v>10</v>
      </c>
      <c r="I621" t="s">
        <v>305</v>
      </c>
      <c r="J621" t="s">
        <v>272</v>
      </c>
      <c r="L621" t="str">
        <f t="shared" si="46"/>
        <v>2020/01/23</v>
      </c>
      <c r="M621" t="str">
        <f t="shared" si="47"/>
        <v>2020/02/02</v>
      </c>
      <c r="N621" t="s">
        <v>87</v>
      </c>
    </row>
    <row r="622" spans="3:14" x14ac:dyDescent="0.2">
      <c r="C622" t="s">
        <v>6</v>
      </c>
      <c r="D622">
        <v>108216</v>
      </c>
      <c r="E622">
        <v>154</v>
      </c>
      <c r="F622">
        <f t="shared" si="51"/>
        <v>35</v>
      </c>
      <c r="I622" t="s">
        <v>64</v>
      </c>
      <c r="J622" t="s">
        <v>65</v>
      </c>
      <c r="L622" t="str">
        <f t="shared" si="46"/>
        <v>2020/01/23</v>
      </c>
      <c r="M622" t="str">
        <f t="shared" si="47"/>
        <v>2020/02/27</v>
      </c>
      <c r="N622" t="s">
        <v>9</v>
      </c>
    </row>
    <row r="623" spans="3:14" x14ac:dyDescent="0.2">
      <c r="C623" t="s">
        <v>6</v>
      </c>
      <c r="D623">
        <v>3610747</v>
      </c>
      <c r="E623">
        <v>8323</v>
      </c>
      <c r="F623">
        <f t="shared" si="51"/>
        <v>84</v>
      </c>
      <c r="I623" t="s">
        <v>14</v>
      </c>
      <c r="J623" t="s">
        <v>15</v>
      </c>
      <c r="L623" t="str">
        <f t="shared" si="46"/>
        <v>2020/01/08</v>
      </c>
      <c r="M623" t="str">
        <f t="shared" si="47"/>
        <v>2020/04/01</v>
      </c>
      <c r="N623" t="s">
        <v>9</v>
      </c>
    </row>
    <row r="624" spans="3:14" x14ac:dyDescent="0.2">
      <c r="C624" t="s">
        <v>6</v>
      </c>
      <c r="D624">
        <v>135025</v>
      </c>
      <c r="E624">
        <v>284</v>
      </c>
      <c r="F624">
        <f t="shared" si="51"/>
        <v>226</v>
      </c>
      <c r="I624" t="s">
        <v>21</v>
      </c>
      <c r="J624" t="s">
        <v>22</v>
      </c>
      <c r="L624" t="str">
        <f t="shared" si="46"/>
        <v>2019/10/18</v>
      </c>
      <c r="M624" t="str">
        <f t="shared" si="47"/>
        <v>2020/05/31</v>
      </c>
      <c r="N624" t="s">
        <v>9</v>
      </c>
    </row>
    <row r="625" spans="1:14" x14ac:dyDescent="0.2">
      <c r="C625" t="s">
        <v>6</v>
      </c>
      <c r="D625">
        <v>176811</v>
      </c>
      <c r="E625">
        <v>496</v>
      </c>
      <c r="F625">
        <f t="shared" si="51"/>
        <v>29</v>
      </c>
      <c r="I625" t="s">
        <v>261</v>
      </c>
      <c r="J625" t="s">
        <v>52</v>
      </c>
      <c r="L625" t="str">
        <f t="shared" si="46"/>
        <v>2020/02/01</v>
      </c>
      <c r="M625" t="str">
        <f t="shared" si="47"/>
        <v>2020/03/01</v>
      </c>
      <c r="N625" t="s">
        <v>9</v>
      </c>
    </row>
    <row r="626" spans="1:14" x14ac:dyDescent="0.2">
      <c r="C626" t="s">
        <v>6</v>
      </c>
      <c r="D626">
        <v>4880359</v>
      </c>
      <c r="E626">
        <v>10213</v>
      </c>
      <c r="F626">
        <f t="shared" si="51"/>
        <v>8</v>
      </c>
      <c r="I626" t="s">
        <v>62</v>
      </c>
      <c r="J626" t="s">
        <v>63</v>
      </c>
      <c r="L626" t="str">
        <f t="shared" si="46"/>
        <v>2020/02/08</v>
      </c>
      <c r="M626" t="str">
        <f t="shared" si="47"/>
        <v>2020/02/16</v>
      </c>
      <c r="N626" t="s">
        <v>9</v>
      </c>
    </row>
    <row r="627" spans="1:14" x14ac:dyDescent="0.2">
      <c r="C627" t="s">
        <v>6</v>
      </c>
      <c r="D627">
        <v>59052</v>
      </c>
      <c r="E627">
        <v>130</v>
      </c>
      <c r="F627">
        <f t="shared" si="51"/>
        <v>226</v>
      </c>
      <c r="I627" t="s">
        <v>21</v>
      </c>
      <c r="J627" t="s">
        <v>22</v>
      </c>
      <c r="L627" t="str">
        <f t="shared" si="46"/>
        <v>2019/10/18</v>
      </c>
      <c r="M627" t="str">
        <f t="shared" si="47"/>
        <v>2020/05/31</v>
      </c>
      <c r="N627" t="s">
        <v>9</v>
      </c>
    </row>
    <row r="628" spans="1:14" hidden="1" x14ac:dyDescent="0.2">
      <c r="C628" t="s">
        <v>39</v>
      </c>
      <c r="D628">
        <v>13593</v>
      </c>
      <c r="E628">
        <v>23</v>
      </c>
      <c r="F628">
        <f t="shared" si="51"/>
        <v>343</v>
      </c>
      <c r="I628" t="s">
        <v>83</v>
      </c>
      <c r="J628" t="s">
        <v>84</v>
      </c>
      <c r="L628" t="str">
        <f t="shared" si="46"/>
        <v>2020/01/24</v>
      </c>
      <c r="M628" t="str">
        <f t="shared" si="47"/>
        <v>2021/01/01</v>
      </c>
      <c r="N628" t="s">
        <v>41</v>
      </c>
    </row>
    <row r="629" spans="1:14" x14ac:dyDescent="0.2">
      <c r="C629" t="s">
        <v>6</v>
      </c>
      <c r="D629">
        <v>645960</v>
      </c>
      <c r="E629">
        <v>6167</v>
      </c>
      <c r="F629">
        <f t="shared" si="51"/>
        <v>63</v>
      </c>
      <c r="I629" t="s">
        <v>18</v>
      </c>
      <c r="J629" t="s">
        <v>15</v>
      </c>
      <c r="L629" t="str">
        <f t="shared" si="46"/>
        <v>2020/01/29</v>
      </c>
      <c r="M629" t="str">
        <f t="shared" si="47"/>
        <v>2020/04/01</v>
      </c>
      <c r="N629" t="s">
        <v>9</v>
      </c>
    </row>
    <row r="630" spans="1:14" hidden="1" x14ac:dyDescent="0.2">
      <c r="C630" t="s">
        <v>56</v>
      </c>
      <c r="D630">
        <v>529449</v>
      </c>
      <c r="E630">
        <v>549</v>
      </c>
      <c r="F630">
        <f t="shared" si="51"/>
        <v>22</v>
      </c>
      <c r="I630" t="s">
        <v>365</v>
      </c>
      <c r="J630" t="s">
        <v>61</v>
      </c>
      <c r="L630" t="str">
        <f t="shared" si="46"/>
        <v>2020/02/08</v>
      </c>
      <c r="M630" t="str">
        <f t="shared" si="47"/>
        <v>2020/03/01</v>
      </c>
      <c r="N630" t="s">
        <v>59</v>
      </c>
    </row>
    <row r="631" spans="1:14" x14ac:dyDescent="0.2">
      <c r="C631" t="s">
        <v>6</v>
      </c>
      <c r="D631">
        <v>163150</v>
      </c>
      <c r="E631">
        <v>332</v>
      </c>
      <c r="F631">
        <f t="shared" si="51"/>
        <v>226</v>
      </c>
      <c r="I631" t="s">
        <v>21</v>
      </c>
      <c r="J631" t="s">
        <v>22</v>
      </c>
      <c r="L631" t="str">
        <f t="shared" si="46"/>
        <v>2019/10/18</v>
      </c>
      <c r="M631" t="str">
        <f t="shared" si="47"/>
        <v>2020/05/31</v>
      </c>
      <c r="N631" t="s">
        <v>9</v>
      </c>
    </row>
    <row r="632" spans="1:14" hidden="1" x14ac:dyDescent="0.2">
      <c r="C632" t="s">
        <v>6</v>
      </c>
      <c r="D632">
        <v>208505</v>
      </c>
      <c r="E632">
        <v>162</v>
      </c>
      <c r="I632" t="s">
        <v>366</v>
      </c>
      <c r="L632" t="str">
        <f t="shared" si="46"/>
        <v>2020/02/18</v>
      </c>
      <c r="M632" t="e">
        <f t="shared" si="47"/>
        <v>#VALUE!</v>
      </c>
      <c r="N632" t="s">
        <v>9</v>
      </c>
    </row>
    <row r="633" spans="1:14" x14ac:dyDescent="0.2">
      <c r="A633" s="1"/>
      <c r="C633" t="s">
        <v>6</v>
      </c>
      <c r="D633">
        <v>5286887</v>
      </c>
      <c r="E633">
        <v>10881</v>
      </c>
      <c r="F633">
        <f>M633-L633</f>
        <v>8</v>
      </c>
      <c r="I633" t="s">
        <v>62</v>
      </c>
      <c r="J633" t="s">
        <v>63</v>
      </c>
      <c r="L633" t="str">
        <f t="shared" si="46"/>
        <v>2020/02/08</v>
      </c>
      <c r="M633" t="str">
        <f t="shared" si="47"/>
        <v>2020/02/16</v>
      </c>
      <c r="N633" t="s">
        <v>9</v>
      </c>
    </row>
    <row r="634" spans="1:14" hidden="1" x14ac:dyDescent="0.2">
      <c r="C634" t="s">
        <v>6</v>
      </c>
      <c r="D634">
        <v>181596</v>
      </c>
      <c r="E634">
        <v>298</v>
      </c>
      <c r="I634" t="s">
        <v>367</v>
      </c>
      <c r="L634" t="str">
        <f t="shared" si="46"/>
        <v>2020/02/19</v>
      </c>
      <c r="M634" t="e">
        <f t="shared" si="47"/>
        <v>#VALUE!</v>
      </c>
      <c r="N634" t="s">
        <v>9</v>
      </c>
    </row>
    <row r="635" spans="1:14" hidden="1" x14ac:dyDescent="0.2">
      <c r="C635" t="s">
        <v>39</v>
      </c>
      <c r="D635">
        <v>17810</v>
      </c>
      <c r="E635">
        <v>43</v>
      </c>
      <c r="I635" t="s">
        <v>40</v>
      </c>
      <c r="L635" t="str">
        <f t="shared" si="46"/>
        <v>2020/02/01</v>
      </c>
      <c r="M635" t="e">
        <f t="shared" si="47"/>
        <v>#VALUE!</v>
      </c>
      <c r="N635" t="s">
        <v>41</v>
      </c>
    </row>
    <row r="636" spans="1:14" hidden="1" x14ac:dyDescent="0.2">
      <c r="C636" t="s">
        <v>6</v>
      </c>
      <c r="D636">
        <v>1509</v>
      </c>
      <c r="E636">
        <v>2</v>
      </c>
      <c r="I636" t="s">
        <v>368</v>
      </c>
      <c r="L636" t="str">
        <f t="shared" si="46"/>
        <v>2020/01/30</v>
      </c>
      <c r="M636" t="e">
        <f t="shared" si="47"/>
        <v>#VALUE!</v>
      </c>
      <c r="N636" t="s">
        <v>9</v>
      </c>
    </row>
    <row r="637" spans="1:14" x14ac:dyDescent="0.2">
      <c r="C637" t="s">
        <v>6</v>
      </c>
      <c r="D637">
        <v>1063</v>
      </c>
      <c r="E637">
        <v>4</v>
      </c>
      <c r="F637">
        <f t="shared" ref="F637:F648" si="52">M637-L637</f>
        <v>10</v>
      </c>
      <c r="I637" t="s">
        <v>16</v>
      </c>
      <c r="J637" t="s">
        <v>8</v>
      </c>
      <c r="L637" t="str">
        <f t="shared" si="46"/>
        <v>2020/02/23</v>
      </c>
      <c r="M637" t="str">
        <f t="shared" si="47"/>
        <v>2020/03/04</v>
      </c>
      <c r="N637" t="s">
        <v>9</v>
      </c>
    </row>
    <row r="638" spans="1:14" x14ac:dyDescent="0.2">
      <c r="C638" t="s">
        <v>6</v>
      </c>
      <c r="D638">
        <v>644117</v>
      </c>
      <c r="E638">
        <v>6139</v>
      </c>
      <c r="F638">
        <f t="shared" si="52"/>
        <v>84</v>
      </c>
      <c r="I638" t="s">
        <v>66</v>
      </c>
      <c r="J638" t="s">
        <v>15</v>
      </c>
      <c r="L638" t="str">
        <f t="shared" si="46"/>
        <v>2020/01/08</v>
      </c>
      <c r="M638" t="str">
        <f t="shared" si="47"/>
        <v>2020/04/01</v>
      </c>
      <c r="N638" t="s">
        <v>9</v>
      </c>
    </row>
    <row r="639" spans="1:14" hidden="1" x14ac:dyDescent="0.2">
      <c r="A639" s="1"/>
      <c r="C639" t="s">
        <v>127</v>
      </c>
      <c r="D639">
        <v>7493</v>
      </c>
      <c r="E639">
        <v>26</v>
      </c>
      <c r="F639">
        <f t="shared" si="52"/>
        <v>12</v>
      </c>
      <c r="I639" t="s">
        <v>166</v>
      </c>
      <c r="J639" t="s">
        <v>167</v>
      </c>
      <c r="L639" t="str">
        <f t="shared" si="46"/>
        <v>2020/02/16</v>
      </c>
      <c r="M639" t="str">
        <f t="shared" si="47"/>
        <v>2020/02/28</v>
      </c>
      <c r="N639" t="s">
        <v>130</v>
      </c>
    </row>
    <row r="640" spans="1:14" x14ac:dyDescent="0.2">
      <c r="C640" t="s">
        <v>6</v>
      </c>
      <c r="D640">
        <v>28668</v>
      </c>
      <c r="E640">
        <v>36</v>
      </c>
      <c r="F640">
        <f t="shared" si="52"/>
        <v>7</v>
      </c>
      <c r="I640" t="s">
        <v>369</v>
      </c>
      <c r="J640" t="s">
        <v>370</v>
      </c>
      <c r="L640" t="str">
        <f t="shared" si="46"/>
        <v>2020/02/03</v>
      </c>
      <c r="M640" t="str">
        <f t="shared" si="47"/>
        <v>2020/02/10</v>
      </c>
      <c r="N640" t="s">
        <v>9</v>
      </c>
    </row>
    <row r="641" spans="1:14" x14ac:dyDescent="0.2">
      <c r="C641" t="s">
        <v>6</v>
      </c>
      <c r="D641">
        <v>460787</v>
      </c>
      <c r="E641">
        <v>878</v>
      </c>
      <c r="F641">
        <f t="shared" si="52"/>
        <v>40</v>
      </c>
      <c r="I641" t="s">
        <v>72</v>
      </c>
      <c r="J641" t="s">
        <v>73</v>
      </c>
      <c r="L641" t="str">
        <f t="shared" si="46"/>
        <v>2020/01/03</v>
      </c>
      <c r="M641" t="str">
        <f t="shared" si="47"/>
        <v>2020/02/12</v>
      </c>
      <c r="N641" t="s">
        <v>9</v>
      </c>
    </row>
    <row r="642" spans="1:14" hidden="1" x14ac:dyDescent="0.2">
      <c r="C642" t="s">
        <v>39</v>
      </c>
      <c r="D642">
        <v>780508</v>
      </c>
      <c r="E642">
        <v>1243</v>
      </c>
      <c r="F642">
        <f t="shared" si="52"/>
        <v>21</v>
      </c>
      <c r="I642" t="s">
        <v>371</v>
      </c>
      <c r="J642" t="s">
        <v>58</v>
      </c>
      <c r="L642" t="str">
        <f t="shared" si="46"/>
        <v>2020/02/10</v>
      </c>
      <c r="M642" t="str">
        <f t="shared" si="47"/>
        <v>2020/03/02</v>
      </c>
      <c r="N642" t="s">
        <v>41</v>
      </c>
    </row>
    <row r="643" spans="1:14" x14ac:dyDescent="0.2">
      <c r="C643" t="s">
        <v>6</v>
      </c>
      <c r="D643">
        <v>8771</v>
      </c>
      <c r="E643">
        <v>33</v>
      </c>
      <c r="F643">
        <f t="shared" si="52"/>
        <v>10</v>
      </c>
      <c r="I643" t="s">
        <v>140</v>
      </c>
      <c r="J643" t="s">
        <v>24</v>
      </c>
      <c r="L643" t="str">
        <f t="shared" ref="L643:L706" si="53">LEFT(I643,FIND(" ",I643)-1)</f>
        <v>2020/02/23</v>
      </c>
      <c r="M643" t="str">
        <f t="shared" ref="M643:M706" si="54">LEFT(J643,FIND(" ",J643)-1)</f>
        <v>2020/03/04</v>
      </c>
      <c r="N643" t="s">
        <v>9</v>
      </c>
    </row>
    <row r="644" spans="1:14" x14ac:dyDescent="0.2">
      <c r="C644" t="s">
        <v>6</v>
      </c>
      <c r="D644">
        <v>167528</v>
      </c>
      <c r="E644">
        <v>159</v>
      </c>
      <c r="F644">
        <f t="shared" si="52"/>
        <v>8</v>
      </c>
      <c r="I644" t="s">
        <v>372</v>
      </c>
      <c r="J644" t="s">
        <v>163</v>
      </c>
      <c r="L644" t="str">
        <f t="shared" si="53"/>
        <v>2020/01/08</v>
      </c>
      <c r="M644" t="str">
        <f t="shared" si="54"/>
        <v>2020/01/16</v>
      </c>
      <c r="N644" t="s">
        <v>9</v>
      </c>
    </row>
    <row r="645" spans="1:14" hidden="1" x14ac:dyDescent="0.2">
      <c r="C645" t="s">
        <v>10</v>
      </c>
      <c r="D645">
        <v>190974</v>
      </c>
      <c r="E645">
        <v>435</v>
      </c>
      <c r="F645">
        <f t="shared" si="52"/>
        <v>11</v>
      </c>
      <c r="I645" t="s">
        <v>33</v>
      </c>
      <c r="J645" t="s">
        <v>34</v>
      </c>
      <c r="L645" t="str">
        <f t="shared" si="53"/>
        <v>2020/02/03</v>
      </c>
      <c r="M645" t="str">
        <f t="shared" si="54"/>
        <v>2020/02/14</v>
      </c>
      <c r="N645" t="s">
        <v>35</v>
      </c>
    </row>
    <row r="646" spans="1:14" x14ac:dyDescent="0.2">
      <c r="C646" t="s">
        <v>6</v>
      </c>
      <c r="D646">
        <v>5721506</v>
      </c>
      <c r="E646">
        <v>7625</v>
      </c>
      <c r="F646">
        <f t="shared" si="52"/>
        <v>63</v>
      </c>
      <c r="I646" t="s">
        <v>18</v>
      </c>
      <c r="J646" t="s">
        <v>15</v>
      </c>
      <c r="L646" t="str">
        <f t="shared" si="53"/>
        <v>2020/01/29</v>
      </c>
      <c r="M646" t="str">
        <f t="shared" si="54"/>
        <v>2020/04/01</v>
      </c>
      <c r="N646" t="s">
        <v>9</v>
      </c>
    </row>
    <row r="647" spans="1:14" x14ac:dyDescent="0.2">
      <c r="C647" t="s">
        <v>6</v>
      </c>
      <c r="D647">
        <v>4441</v>
      </c>
      <c r="E647">
        <v>17</v>
      </c>
      <c r="F647">
        <f t="shared" si="52"/>
        <v>10</v>
      </c>
      <c r="I647" t="s">
        <v>140</v>
      </c>
      <c r="J647" t="s">
        <v>24</v>
      </c>
      <c r="L647" t="str">
        <f t="shared" si="53"/>
        <v>2020/02/23</v>
      </c>
      <c r="M647" t="str">
        <f t="shared" si="54"/>
        <v>2020/03/04</v>
      </c>
      <c r="N647" t="s">
        <v>9</v>
      </c>
    </row>
    <row r="648" spans="1:14" hidden="1" x14ac:dyDescent="0.2">
      <c r="C648" t="s">
        <v>10</v>
      </c>
      <c r="D648">
        <v>62508</v>
      </c>
      <c r="E648">
        <v>40</v>
      </c>
      <c r="F648">
        <f t="shared" si="52"/>
        <v>1</v>
      </c>
      <c r="I648" t="s">
        <v>373</v>
      </c>
      <c r="J648" t="s">
        <v>374</v>
      </c>
      <c r="L648" t="str">
        <f t="shared" si="53"/>
        <v>2020/01/23</v>
      </c>
      <c r="M648" t="str">
        <f t="shared" si="54"/>
        <v>2020/01/24</v>
      </c>
      <c r="N648" t="s">
        <v>28</v>
      </c>
    </row>
    <row r="649" spans="1:14" hidden="1" x14ac:dyDescent="0.2">
      <c r="C649" t="s">
        <v>6</v>
      </c>
      <c r="D649">
        <v>2049</v>
      </c>
      <c r="E649">
        <v>3</v>
      </c>
      <c r="I649" t="s">
        <v>375</v>
      </c>
      <c r="L649" t="str">
        <f t="shared" si="53"/>
        <v>2020/02/08</v>
      </c>
      <c r="M649" t="e">
        <f t="shared" si="54"/>
        <v>#VALUE!</v>
      </c>
      <c r="N649" t="s">
        <v>9</v>
      </c>
    </row>
    <row r="650" spans="1:14" x14ac:dyDescent="0.2">
      <c r="C650" t="s">
        <v>6</v>
      </c>
      <c r="D650">
        <v>1194439</v>
      </c>
      <c r="E650">
        <v>2696</v>
      </c>
      <c r="F650">
        <f>M650-L650</f>
        <v>63</v>
      </c>
      <c r="I650" t="s">
        <v>132</v>
      </c>
      <c r="J650" t="s">
        <v>15</v>
      </c>
      <c r="L650" t="str">
        <f t="shared" si="53"/>
        <v>2020/01/29</v>
      </c>
      <c r="M650" t="str">
        <f t="shared" si="54"/>
        <v>2020/04/01</v>
      </c>
      <c r="N650" t="s">
        <v>9</v>
      </c>
    </row>
    <row r="651" spans="1:14" x14ac:dyDescent="0.2">
      <c r="A651" s="1"/>
      <c r="C651" t="s">
        <v>6</v>
      </c>
      <c r="D651">
        <v>67367</v>
      </c>
      <c r="E651">
        <v>521</v>
      </c>
      <c r="F651">
        <f>M651-L651</f>
        <v>27</v>
      </c>
      <c r="I651" t="s">
        <v>31</v>
      </c>
      <c r="J651" t="s">
        <v>24</v>
      </c>
      <c r="L651" t="str">
        <f t="shared" si="53"/>
        <v>2020/02/06</v>
      </c>
      <c r="M651" t="str">
        <f t="shared" si="54"/>
        <v>2020/03/04</v>
      </c>
      <c r="N651" t="s">
        <v>9</v>
      </c>
    </row>
    <row r="652" spans="1:14" hidden="1" x14ac:dyDescent="0.2">
      <c r="C652" t="s">
        <v>6</v>
      </c>
      <c r="D652">
        <v>3914</v>
      </c>
      <c r="E652">
        <v>7</v>
      </c>
      <c r="I652" t="s">
        <v>294</v>
      </c>
      <c r="L652" t="str">
        <f t="shared" si="53"/>
        <v>2020/02/18</v>
      </c>
      <c r="M652" t="e">
        <f t="shared" si="54"/>
        <v>#VALUE!</v>
      </c>
      <c r="N652" t="s">
        <v>9</v>
      </c>
    </row>
    <row r="653" spans="1:14" x14ac:dyDescent="0.2">
      <c r="C653" t="s">
        <v>6</v>
      </c>
      <c r="D653">
        <v>23214</v>
      </c>
      <c r="E653">
        <v>63</v>
      </c>
      <c r="F653">
        <f>M653-L653</f>
        <v>111</v>
      </c>
      <c r="I653" t="s">
        <v>147</v>
      </c>
      <c r="J653" t="s">
        <v>148</v>
      </c>
      <c r="L653" t="str">
        <f t="shared" si="53"/>
        <v>2020/02/10</v>
      </c>
      <c r="M653" t="str">
        <f t="shared" si="54"/>
        <v>2020/05/31</v>
      </c>
      <c r="N653" t="s">
        <v>9</v>
      </c>
    </row>
    <row r="654" spans="1:14" hidden="1" x14ac:dyDescent="0.2">
      <c r="C654" t="s">
        <v>10</v>
      </c>
      <c r="D654">
        <v>1022</v>
      </c>
      <c r="E654">
        <v>0</v>
      </c>
      <c r="I654" t="s">
        <v>36</v>
      </c>
      <c r="L654" t="str">
        <f t="shared" si="53"/>
        <v>2020/01/17</v>
      </c>
      <c r="M654" t="e">
        <f t="shared" si="54"/>
        <v>#VALUE!</v>
      </c>
      <c r="N654" t="s">
        <v>28</v>
      </c>
    </row>
    <row r="655" spans="1:14" x14ac:dyDescent="0.2">
      <c r="C655" t="s">
        <v>6</v>
      </c>
      <c r="D655">
        <v>359037</v>
      </c>
      <c r="E655">
        <v>3475</v>
      </c>
      <c r="F655">
        <f t="shared" ref="F655:F660" si="55">M655-L655</f>
        <v>84</v>
      </c>
      <c r="I655" t="s">
        <v>66</v>
      </c>
      <c r="J655" t="s">
        <v>15</v>
      </c>
      <c r="L655" t="str">
        <f t="shared" si="53"/>
        <v>2020/01/08</v>
      </c>
      <c r="M655" t="str">
        <f t="shared" si="54"/>
        <v>2020/04/01</v>
      </c>
      <c r="N655" t="s">
        <v>9</v>
      </c>
    </row>
    <row r="656" spans="1:14" x14ac:dyDescent="0.2">
      <c r="C656" t="s">
        <v>6</v>
      </c>
      <c r="D656">
        <v>649778</v>
      </c>
      <c r="E656">
        <v>6201</v>
      </c>
      <c r="F656">
        <f t="shared" si="55"/>
        <v>63</v>
      </c>
      <c r="I656" t="s">
        <v>18</v>
      </c>
      <c r="J656" t="s">
        <v>15</v>
      </c>
      <c r="L656" t="str">
        <f t="shared" si="53"/>
        <v>2020/01/29</v>
      </c>
      <c r="M656" t="str">
        <f t="shared" si="54"/>
        <v>2020/04/01</v>
      </c>
      <c r="N656" t="s">
        <v>9</v>
      </c>
    </row>
    <row r="657" spans="1:14" x14ac:dyDescent="0.2">
      <c r="A657" s="1"/>
      <c r="C657" t="s">
        <v>6</v>
      </c>
      <c r="D657">
        <v>87829</v>
      </c>
      <c r="E657">
        <v>147</v>
      </c>
      <c r="F657">
        <f t="shared" si="55"/>
        <v>12</v>
      </c>
      <c r="I657" t="s">
        <v>19</v>
      </c>
      <c r="J657" t="s">
        <v>20</v>
      </c>
      <c r="L657" t="str">
        <f t="shared" si="53"/>
        <v>2020/01/23</v>
      </c>
      <c r="M657" t="str">
        <f t="shared" si="54"/>
        <v>2020/02/04</v>
      </c>
      <c r="N657" t="s">
        <v>9</v>
      </c>
    </row>
    <row r="658" spans="1:14" x14ac:dyDescent="0.2">
      <c r="C658" t="s">
        <v>6</v>
      </c>
      <c r="D658">
        <v>288447</v>
      </c>
      <c r="E658">
        <v>665</v>
      </c>
      <c r="F658">
        <f t="shared" si="55"/>
        <v>84</v>
      </c>
      <c r="I658" t="s">
        <v>14</v>
      </c>
      <c r="J658" t="s">
        <v>15</v>
      </c>
      <c r="L658" t="str">
        <f t="shared" si="53"/>
        <v>2020/01/08</v>
      </c>
      <c r="M658" t="str">
        <f t="shared" si="54"/>
        <v>2020/04/01</v>
      </c>
      <c r="N658" t="s">
        <v>9</v>
      </c>
    </row>
    <row r="659" spans="1:14" x14ac:dyDescent="0.2">
      <c r="C659" t="s">
        <v>6</v>
      </c>
      <c r="D659">
        <v>42215</v>
      </c>
      <c r="E659">
        <v>382</v>
      </c>
      <c r="F659">
        <f t="shared" si="55"/>
        <v>27</v>
      </c>
      <c r="I659" t="s">
        <v>31</v>
      </c>
      <c r="J659" t="s">
        <v>24</v>
      </c>
      <c r="L659" t="str">
        <f t="shared" si="53"/>
        <v>2020/02/06</v>
      </c>
      <c r="M659" t="str">
        <f t="shared" si="54"/>
        <v>2020/03/04</v>
      </c>
      <c r="N659" t="s">
        <v>9</v>
      </c>
    </row>
    <row r="660" spans="1:14" x14ac:dyDescent="0.2">
      <c r="C660" t="s">
        <v>6</v>
      </c>
      <c r="D660">
        <v>47792</v>
      </c>
      <c r="E660">
        <v>102</v>
      </c>
      <c r="F660">
        <f t="shared" si="55"/>
        <v>12</v>
      </c>
      <c r="I660" t="s">
        <v>19</v>
      </c>
      <c r="J660" t="s">
        <v>26</v>
      </c>
      <c r="L660" t="str">
        <f t="shared" si="53"/>
        <v>2020/01/23</v>
      </c>
      <c r="M660" t="str">
        <f t="shared" si="54"/>
        <v>2020/02/04</v>
      </c>
      <c r="N660" t="s">
        <v>9</v>
      </c>
    </row>
    <row r="661" spans="1:14" hidden="1" x14ac:dyDescent="0.2">
      <c r="C661" t="s">
        <v>10</v>
      </c>
      <c r="D661">
        <v>43575</v>
      </c>
      <c r="E661">
        <v>84</v>
      </c>
      <c r="I661" t="s">
        <v>138</v>
      </c>
      <c r="L661" t="str">
        <f t="shared" si="53"/>
        <v>2020/02/18</v>
      </c>
      <c r="M661" t="e">
        <f t="shared" si="54"/>
        <v>#VALUE!</v>
      </c>
      <c r="N661" t="s">
        <v>35</v>
      </c>
    </row>
    <row r="662" spans="1:14" x14ac:dyDescent="0.2">
      <c r="C662" t="s">
        <v>6</v>
      </c>
      <c r="D662">
        <v>28413</v>
      </c>
      <c r="E662">
        <v>280</v>
      </c>
      <c r="F662">
        <f>M662-L662</f>
        <v>4</v>
      </c>
      <c r="I662" t="s">
        <v>37</v>
      </c>
      <c r="J662" t="s">
        <v>38</v>
      </c>
      <c r="L662" t="str">
        <f t="shared" si="53"/>
        <v>2020/02/07</v>
      </c>
      <c r="M662" t="str">
        <f t="shared" si="54"/>
        <v>2020/02/11</v>
      </c>
      <c r="N662" t="s">
        <v>9</v>
      </c>
    </row>
    <row r="663" spans="1:14" hidden="1" x14ac:dyDescent="0.2">
      <c r="C663" t="s">
        <v>56</v>
      </c>
      <c r="D663">
        <v>23745</v>
      </c>
      <c r="E663">
        <v>20</v>
      </c>
      <c r="F663">
        <f>M663-L663</f>
        <v>41</v>
      </c>
      <c r="I663" t="s">
        <v>57</v>
      </c>
      <c r="J663" t="s">
        <v>58</v>
      </c>
      <c r="L663" t="str">
        <f t="shared" si="53"/>
        <v>2020/01/21</v>
      </c>
      <c r="M663" t="str">
        <f t="shared" si="54"/>
        <v>2020/03/02</v>
      </c>
      <c r="N663" t="s">
        <v>59</v>
      </c>
    </row>
    <row r="664" spans="1:14" hidden="1" x14ac:dyDescent="0.2">
      <c r="C664" t="s">
        <v>127</v>
      </c>
      <c r="D664">
        <v>32850</v>
      </c>
      <c r="E664">
        <v>92</v>
      </c>
      <c r="F664">
        <f>M664-L664</f>
        <v>12</v>
      </c>
      <c r="I664" t="s">
        <v>166</v>
      </c>
      <c r="J664" t="s">
        <v>167</v>
      </c>
      <c r="L664" t="str">
        <f t="shared" si="53"/>
        <v>2020/02/16</v>
      </c>
      <c r="M664" t="str">
        <f t="shared" si="54"/>
        <v>2020/02/28</v>
      </c>
      <c r="N664" t="s">
        <v>130</v>
      </c>
    </row>
    <row r="665" spans="1:14" x14ac:dyDescent="0.2">
      <c r="C665" t="s">
        <v>6</v>
      </c>
      <c r="D665">
        <v>114803</v>
      </c>
      <c r="E665">
        <v>946</v>
      </c>
      <c r="F665">
        <f>M665-L665</f>
        <v>27</v>
      </c>
      <c r="I665" t="s">
        <v>103</v>
      </c>
      <c r="J665" t="s">
        <v>24</v>
      </c>
      <c r="L665" t="str">
        <f t="shared" si="53"/>
        <v>2020/02/06</v>
      </c>
      <c r="M665" t="str">
        <f t="shared" si="54"/>
        <v>2020/03/04</v>
      </c>
      <c r="N665" t="s">
        <v>9</v>
      </c>
    </row>
    <row r="666" spans="1:14" x14ac:dyDescent="0.2">
      <c r="C666" t="s">
        <v>6</v>
      </c>
      <c r="D666">
        <v>21492</v>
      </c>
      <c r="E666">
        <v>67</v>
      </c>
      <c r="F666">
        <f>M666-L666</f>
        <v>111</v>
      </c>
      <c r="I666" t="s">
        <v>147</v>
      </c>
      <c r="J666" t="s">
        <v>148</v>
      </c>
      <c r="L666" t="str">
        <f t="shared" si="53"/>
        <v>2020/02/10</v>
      </c>
      <c r="M666" t="str">
        <f t="shared" si="54"/>
        <v>2020/05/31</v>
      </c>
      <c r="N666" t="s">
        <v>9</v>
      </c>
    </row>
    <row r="667" spans="1:14" hidden="1" x14ac:dyDescent="0.2">
      <c r="C667" t="s">
        <v>6</v>
      </c>
      <c r="D667">
        <v>6925</v>
      </c>
      <c r="E667">
        <v>20</v>
      </c>
      <c r="I667" t="s">
        <v>110</v>
      </c>
      <c r="L667" t="str">
        <f t="shared" si="53"/>
        <v>2020/02/03</v>
      </c>
      <c r="M667" t="e">
        <f t="shared" si="54"/>
        <v>#VALUE!</v>
      </c>
      <c r="N667" t="s">
        <v>9</v>
      </c>
    </row>
    <row r="668" spans="1:14" hidden="1" x14ac:dyDescent="0.2">
      <c r="C668" t="s">
        <v>10</v>
      </c>
      <c r="D668">
        <v>17037</v>
      </c>
      <c r="E668">
        <v>14</v>
      </c>
      <c r="F668">
        <f>M668-L668</f>
        <v>0</v>
      </c>
      <c r="I668" t="s">
        <v>376</v>
      </c>
      <c r="J668" t="s">
        <v>89</v>
      </c>
      <c r="L668" t="str">
        <f t="shared" si="53"/>
        <v>2020/01/28</v>
      </c>
      <c r="M668" t="str">
        <f t="shared" si="54"/>
        <v>2020/01/28</v>
      </c>
      <c r="N668" t="s">
        <v>28</v>
      </c>
    </row>
    <row r="669" spans="1:14" hidden="1" x14ac:dyDescent="0.2">
      <c r="C669" t="s">
        <v>10</v>
      </c>
      <c r="D669">
        <v>7237</v>
      </c>
      <c r="E669">
        <v>4</v>
      </c>
      <c r="I669" t="s">
        <v>36</v>
      </c>
      <c r="L669" t="str">
        <f t="shared" si="53"/>
        <v>2020/01/17</v>
      </c>
      <c r="M669" t="e">
        <f t="shared" si="54"/>
        <v>#VALUE!</v>
      </c>
      <c r="N669" t="s">
        <v>28</v>
      </c>
    </row>
    <row r="670" spans="1:14" x14ac:dyDescent="0.2">
      <c r="C670" t="s">
        <v>6</v>
      </c>
      <c r="D670">
        <v>89390</v>
      </c>
      <c r="E670">
        <v>240</v>
      </c>
      <c r="F670">
        <f>M670-L670</f>
        <v>81</v>
      </c>
      <c r="I670" t="s">
        <v>70</v>
      </c>
      <c r="J670" t="s">
        <v>71</v>
      </c>
      <c r="L670" t="str">
        <f t="shared" si="53"/>
        <v>2019/11/19</v>
      </c>
      <c r="M670" t="str">
        <f t="shared" si="54"/>
        <v>2020/02/08</v>
      </c>
      <c r="N670" t="s">
        <v>9</v>
      </c>
    </row>
    <row r="671" spans="1:14" hidden="1" x14ac:dyDescent="0.2">
      <c r="C671" t="s">
        <v>10</v>
      </c>
      <c r="D671">
        <v>1147</v>
      </c>
      <c r="E671">
        <v>0</v>
      </c>
      <c r="I671" t="s">
        <v>36</v>
      </c>
      <c r="L671" t="str">
        <f t="shared" si="53"/>
        <v>2020/01/17</v>
      </c>
      <c r="M671" t="e">
        <f t="shared" si="54"/>
        <v>#VALUE!</v>
      </c>
      <c r="N671" t="s">
        <v>28</v>
      </c>
    </row>
    <row r="672" spans="1:14" hidden="1" x14ac:dyDescent="0.2">
      <c r="C672" t="s">
        <v>56</v>
      </c>
      <c r="D672">
        <v>11956</v>
      </c>
      <c r="E672">
        <v>15</v>
      </c>
      <c r="F672">
        <f>M672-L672</f>
        <v>41</v>
      </c>
      <c r="I672" t="s">
        <v>57</v>
      </c>
      <c r="J672" t="s">
        <v>58</v>
      </c>
      <c r="L672" t="str">
        <f t="shared" si="53"/>
        <v>2020/01/21</v>
      </c>
      <c r="M672" t="str">
        <f t="shared" si="54"/>
        <v>2020/03/02</v>
      </c>
      <c r="N672" t="s">
        <v>59</v>
      </c>
    </row>
    <row r="673" spans="3:14" hidden="1" x14ac:dyDescent="0.2">
      <c r="C673" t="s">
        <v>6</v>
      </c>
      <c r="D673">
        <v>4</v>
      </c>
      <c r="E673">
        <v>0</v>
      </c>
      <c r="I673" t="s">
        <v>377</v>
      </c>
      <c r="L673" t="str">
        <f t="shared" si="53"/>
        <v>2020/01/20</v>
      </c>
      <c r="M673" t="e">
        <f t="shared" si="54"/>
        <v>#VALUE!</v>
      </c>
      <c r="N673" t="s">
        <v>9</v>
      </c>
    </row>
    <row r="674" spans="3:14" x14ac:dyDescent="0.2">
      <c r="C674" t="s">
        <v>6</v>
      </c>
      <c r="D674">
        <v>954977</v>
      </c>
      <c r="E674">
        <v>9112</v>
      </c>
      <c r="F674">
        <f>M674-L674</f>
        <v>63</v>
      </c>
      <c r="I674" t="s">
        <v>18</v>
      </c>
      <c r="J674" t="s">
        <v>15</v>
      </c>
      <c r="L674" t="str">
        <f t="shared" si="53"/>
        <v>2020/01/29</v>
      </c>
      <c r="M674" t="str">
        <f t="shared" si="54"/>
        <v>2020/04/01</v>
      </c>
      <c r="N674" t="s">
        <v>9</v>
      </c>
    </row>
    <row r="675" spans="3:14" x14ac:dyDescent="0.2">
      <c r="C675" t="s">
        <v>6</v>
      </c>
      <c r="D675">
        <v>6351</v>
      </c>
      <c r="E675">
        <v>55</v>
      </c>
      <c r="F675">
        <f>M675-L675</f>
        <v>27</v>
      </c>
      <c r="I675" t="s">
        <v>90</v>
      </c>
      <c r="J675" t="s">
        <v>91</v>
      </c>
      <c r="L675" t="str">
        <f t="shared" si="53"/>
        <v>2020/02/06</v>
      </c>
      <c r="M675" t="str">
        <f t="shared" si="54"/>
        <v>2020/03/04</v>
      </c>
      <c r="N675" t="s">
        <v>9</v>
      </c>
    </row>
    <row r="676" spans="3:14" x14ac:dyDescent="0.2">
      <c r="C676" t="s">
        <v>6</v>
      </c>
      <c r="D676">
        <v>104187</v>
      </c>
      <c r="E676">
        <v>205</v>
      </c>
      <c r="F676">
        <f>M676-L676</f>
        <v>40</v>
      </c>
      <c r="I676" t="s">
        <v>72</v>
      </c>
      <c r="J676" t="s">
        <v>73</v>
      </c>
      <c r="L676" t="str">
        <f t="shared" si="53"/>
        <v>2020/01/03</v>
      </c>
      <c r="M676" t="str">
        <f t="shared" si="54"/>
        <v>2020/02/12</v>
      </c>
      <c r="N676" t="s">
        <v>9</v>
      </c>
    </row>
    <row r="677" spans="3:14" hidden="1" x14ac:dyDescent="0.2">
      <c r="C677" t="s">
        <v>6</v>
      </c>
      <c r="D677">
        <v>1249</v>
      </c>
      <c r="E677">
        <v>2</v>
      </c>
      <c r="I677" t="s">
        <v>196</v>
      </c>
      <c r="L677" t="str">
        <f t="shared" si="53"/>
        <v>2020/01/24</v>
      </c>
      <c r="M677" t="e">
        <f t="shared" si="54"/>
        <v>#VALUE!</v>
      </c>
      <c r="N677" t="s">
        <v>9</v>
      </c>
    </row>
    <row r="678" spans="3:14" x14ac:dyDescent="0.2">
      <c r="C678" t="s">
        <v>6</v>
      </c>
      <c r="D678">
        <v>166982</v>
      </c>
      <c r="E678">
        <v>155</v>
      </c>
      <c r="F678">
        <f>M678-L678</f>
        <v>24</v>
      </c>
      <c r="I678" t="s">
        <v>378</v>
      </c>
      <c r="J678" t="s">
        <v>297</v>
      </c>
      <c r="L678" t="str">
        <f t="shared" si="53"/>
        <v>2020/02/18</v>
      </c>
      <c r="M678" t="str">
        <f t="shared" si="54"/>
        <v>2020/03/13</v>
      </c>
      <c r="N678" t="s">
        <v>9</v>
      </c>
    </row>
    <row r="679" spans="3:14" hidden="1" x14ac:dyDescent="0.2">
      <c r="C679" t="s">
        <v>10</v>
      </c>
      <c r="D679">
        <v>92143</v>
      </c>
      <c r="E679">
        <v>50</v>
      </c>
      <c r="F679">
        <f>M679-L679</f>
        <v>9</v>
      </c>
      <c r="I679" t="s">
        <v>379</v>
      </c>
      <c r="J679" t="s">
        <v>380</v>
      </c>
      <c r="L679" t="str">
        <f t="shared" si="53"/>
        <v>2020/01/29</v>
      </c>
      <c r="M679" t="str">
        <f t="shared" si="54"/>
        <v>2020/02/07</v>
      </c>
      <c r="N679" t="s">
        <v>28</v>
      </c>
    </row>
    <row r="680" spans="3:14" hidden="1" x14ac:dyDescent="0.2">
      <c r="C680" t="s">
        <v>127</v>
      </c>
      <c r="D680">
        <v>1101</v>
      </c>
      <c r="E680">
        <v>10</v>
      </c>
      <c r="F680">
        <f>M680-L680</f>
        <v>5</v>
      </c>
      <c r="I680" t="s">
        <v>128</v>
      </c>
      <c r="J680" t="s">
        <v>129</v>
      </c>
      <c r="L680" t="str">
        <f t="shared" si="53"/>
        <v>2020/02/14</v>
      </c>
      <c r="M680" t="str">
        <f t="shared" si="54"/>
        <v>2020/02/19</v>
      </c>
      <c r="N680" t="s">
        <v>130</v>
      </c>
    </row>
    <row r="681" spans="3:14" x14ac:dyDescent="0.2">
      <c r="C681" t="s">
        <v>6</v>
      </c>
      <c r="D681">
        <v>502401</v>
      </c>
      <c r="E681">
        <v>832</v>
      </c>
      <c r="F681">
        <f>M681-L681</f>
        <v>29</v>
      </c>
      <c r="I681" t="s">
        <v>170</v>
      </c>
      <c r="J681" t="s">
        <v>171</v>
      </c>
      <c r="L681" t="str">
        <f t="shared" si="53"/>
        <v>2020/02/01</v>
      </c>
      <c r="M681" t="str">
        <f t="shared" si="54"/>
        <v>2020/03/01</v>
      </c>
      <c r="N681" t="s">
        <v>9</v>
      </c>
    </row>
    <row r="682" spans="3:14" hidden="1" x14ac:dyDescent="0.2">
      <c r="C682" t="s">
        <v>39</v>
      </c>
      <c r="D682">
        <v>1468823</v>
      </c>
      <c r="E682">
        <v>5052</v>
      </c>
      <c r="F682">
        <f>M682-L682</f>
        <v>343</v>
      </c>
      <c r="I682" t="s">
        <v>83</v>
      </c>
      <c r="J682" t="s">
        <v>84</v>
      </c>
      <c r="L682" t="str">
        <f t="shared" si="53"/>
        <v>2020/01/24</v>
      </c>
      <c r="M682" t="str">
        <f t="shared" si="54"/>
        <v>2021/01/01</v>
      </c>
      <c r="N682" t="s">
        <v>41</v>
      </c>
    </row>
    <row r="683" spans="3:14" hidden="1" x14ac:dyDescent="0.2">
      <c r="C683" t="s">
        <v>10</v>
      </c>
      <c r="D683">
        <v>2306</v>
      </c>
      <c r="E683">
        <v>1</v>
      </c>
      <c r="I683" t="s">
        <v>36</v>
      </c>
      <c r="L683" t="str">
        <f t="shared" si="53"/>
        <v>2020/01/17</v>
      </c>
      <c r="M683" t="e">
        <f t="shared" si="54"/>
        <v>#VALUE!</v>
      </c>
      <c r="N683" t="s">
        <v>28</v>
      </c>
    </row>
    <row r="684" spans="3:14" x14ac:dyDescent="0.2">
      <c r="C684" t="s">
        <v>6</v>
      </c>
      <c r="D684">
        <v>80743</v>
      </c>
      <c r="E684">
        <v>200</v>
      </c>
      <c r="F684">
        <f>M684-L684</f>
        <v>26</v>
      </c>
      <c r="I684" t="s">
        <v>381</v>
      </c>
      <c r="J684" t="s">
        <v>382</v>
      </c>
      <c r="L684" t="str">
        <f t="shared" si="53"/>
        <v>2020/01/16</v>
      </c>
      <c r="M684" t="str">
        <f t="shared" si="54"/>
        <v>2020/02/11</v>
      </c>
      <c r="N684" t="s">
        <v>9</v>
      </c>
    </row>
    <row r="685" spans="3:14" x14ac:dyDescent="0.2">
      <c r="C685" t="s">
        <v>6</v>
      </c>
      <c r="D685">
        <v>237386</v>
      </c>
      <c r="E685">
        <v>484</v>
      </c>
      <c r="F685">
        <f>M685-L685</f>
        <v>-2</v>
      </c>
      <c r="I685" t="s">
        <v>79</v>
      </c>
      <c r="J685" t="s">
        <v>80</v>
      </c>
      <c r="L685" t="str">
        <f t="shared" si="53"/>
        <v>2020/01/03</v>
      </c>
      <c r="M685" t="str">
        <f t="shared" si="54"/>
        <v>2020/01/01</v>
      </c>
      <c r="N685" t="s">
        <v>9</v>
      </c>
    </row>
    <row r="686" spans="3:14" hidden="1" x14ac:dyDescent="0.2">
      <c r="C686" t="s">
        <v>10</v>
      </c>
      <c r="D686">
        <v>468582</v>
      </c>
      <c r="E686">
        <v>976</v>
      </c>
      <c r="F686">
        <f>M686-L686</f>
        <v>17</v>
      </c>
      <c r="I686" t="s">
        <v>139</v>
      </c>
      <c r="J686" t="s">
        <v>96</v>
      </c>
      <c r="L686" t="str">
        <f t="shared" si="53"/>
        <v>2020/01/08</v>
      </c>
      <c r="M686" t="str">
        <f t="shared" si="54"/>
        <v>2020/01/25</v>
      </c>
      <c r="N686" t="s">
        <v>87</v>
      </c>
    </row>
    <row r="687" spans="3:14" hidden="1" x14ac:dyDescent="0.2">
      <c r="C687" t="s">
        <v>10</v>
      </c>
      <c r="D687">
        <v>55612</v>
      </c>
      <c r="E687">
        <v>31</v>
      </c>
      <c r="F687">
        <f>M687-L687</f>
        <v>4</v>
      </c>
      <c r="I687" t="s">
        <v>53</v>
      </c>
      <c r="J687" t="s">
        <v>54</v>
      </c>
      <c r="L687" t="str">
        <f t="shared" si="53"/>
        <v>2020/01/17</v>
      </c>
      <c r="M687" t="str">
        <f t="shared" si="54"/>
        <v>2020/01/21</v>
      </c>
      <c r="N687" t="s">
        <v>28</v>
      </c>
    </row>
    <row r="688" spans="3:14" hidden="1" x14ac:dyDescent="0.2">
      <c r="C688" t="s">
        <v>6</v>
      </c>
      <c r="D688">
        <v>94422</v>
      </c>
      <c r="E688">
        <v>160</v>
      </c>
      <c r="F688">
        <f>M688-L688</f>
        <v>7</v>
      </c>
      <c r="I688" t="s">
        <v>383</v>
      </c>
      <c r="J688" t="s">
        <v>384</v>
      </c>
      <c r="L688" t="str">
        <f t="shared" si="53"/>
        <v>2020/01/28</v>
      </c>
      <c r="M688" t="str">
        <f t="shared" si="54"/>
        <v>2020/02/04</v>
      </c>
      <c r="N688" t="s">
        <v>87</v>
      </c>
    </row>
    <row r="689" spans="1:14" hidden="1" x14ac:dyDescent="0.2">
      <c r="C689" t="s">
        <v>6</v>
      </c>
      <c r="D689">
        <v>2473</v>
      </c>
      <c r="E689">
        <v>5</v>
      </c>
      <c r="I689" t="s">
        <v>32</v>
      </c>
      <c r="L689" t="str">
        <f t="shared" si="53"/>
        <v>2020/01/26</v>
      </c>
      <c r="M689" t="e">
        <f t="shared" si="54"/>
        <v>#VALUE!</v>
      </c>
      <c r="N689" t="s">
        <v>9</v>
      </c>
    </row>
    <row r="690" spans="1:14" x14ac:dyDescent="0.2">
      <c r="A690" s="1"/>
      <c r="C690" t="s">
        <v>6</v>
      </c>
      <c r="D690">
        <v>197166</v>
      </c>
      <c r="E690">
        <v>511</v>
      </c>
      <c r="F690">
        <f>M690-L690</f>
        <v>40</v>
      </c>
      <c r="I690" t="s">
        <v>72</v>
      </c>
      <c r="J690" t="s">
        <v>73</v>
      </c>
      <c r="L690" t="str">
        <f t="shared" si="53"/>
        <v>2020/01/03</v>
      </c>
      <c r="M690" t="str">
        <f t="shared" si="54"/>
        <v>2020/02/12</v>
      </c>
      <c r="N690" t="s">
        <v>9</v>
      </c>
    </row>
    <row r="691" spans="1:14" x14ac:dyDescent="0.2">
      <c r="C691" t="s">
        <v>6</v>
      </c>
      <c r="D691">
        <v>638352</v>
      </c>
      <c r="E691">
        <v>6117</v>
      </c>
      <c r="F691">
        <f>M691-L691</f>
        <v>63</v>
      </c>
      <c r="I691" t="s">
        <v>18</v>
      </c>
      <c r="J691" t="s">
        <v>15</v>
      </c>
      <c r="L691" t="str">
        <f t="shared" si="53"/>
        <v>2020/01/29</v>
      </c>
      <c r="M691" t="str">
        <f t="shared" si="54"/>
        <v>2020/04/01</v>
      </c>
      <c r="N691" t="s">
        <v>9</v>
      </c>
    </row>
    <row r="692" spans="1:14" x14ac:dyDescent="0.2">
      <c r="C692" t="s">
        <v>6</v>
      </c>
      <c r="D692">
        <v>1423472</v>
      </c>
      <c r="E692">
        <v>4457</v>
      </c>
      <c r="F692">
        <f>M692-L692</f>
        <v>24</v>
      </c>
      <c r="I692" t="s">
        <v>51</v>
      </c>
      <c r="J692" t="s">
        <v>52</v>
      </c>
      <c r="L692" t="str">
        <f t="shared" si="53"/>
        <v>2020/02/06</v>
      </c>
      <c r="M692" t="str">
        <f t="shared" si="54"/>
        <v>2020/03/01</v>
      </c>
      <c r="N692" t="s">
        <v>9</v>
      </c>
    </row>
    <row r="693" spans="1:14" x14ac:dyDescent="0.2">
      <c r="C693" t="s">
        <v>6</v>
      </c>
      <c r="D693">
        <v>1102311</v>
      </c>
      <c r="E693">
        <v>1844</v>
      </c>
      <c r="F693">
        <f>M693-L693</f>
        <v>26</v>
      </c>
      <c r="I693" t="s">
        <v>81</v>
      </c>
      <c r="J693" t="s">
        <v>82</v>
      </c>
      <c r="L693" t="str">
        <f t="shared" si="53"/>
        <v>2020/01/06</v>
      </c>
      <c r="M693" t="str">
        <f t="shared" si="54"/>
        <v>2020/02/01</v>
      </c>
      <c r="N693" t="s">
        <v>9</v>
      </c>
    </row>
    <row r="694" spans="1:14" x14ac:dyDescent="0.2">
      <c r="C694" t="s">
        <v>6</v>
      </c>
      <c r="D694">
        <v>6034926</v>
      </c>
      <c r="E694">
        <v>12935</v>
      </c>
      <c r="F694">
        <f>M694-L694</f>
        <v>8</v>
      </c>
      <c r="I694" t="s">
        <v>62</v>
      </c>
      <c r="J694" t="s">
        <v>63</v>
      </c>
      <c r="L694" t="str">
        <f t="shared" si="53"/>
        <v>2020/02/08</v>
      </c>
      <c r="M694" t="str">
        <f t="shared" si="54"/>
        <v>2020/02/16</v>
      </c>
      <c r="N694" t="s">
        <v>9</v>
      </c>
    </row>
    <row r="695" spans="1:14" hidden="1" x14ac:dyDescent="0.2">
      <c r="C695" t="s">
        <v>6</v>
      </c>
      <c r="D695">
        <v>2648430</v>
      </c>
      <c r="E695">
        <v>901</v>
      </c>
      <c r="I695" t="s">
        <v>385</v>
      </c>
      <c r="L695" t="str">
        <f t="shared" si="53"/>
        <v>2020/01/14</v>
      </c>
      <c r="M695" t="e">
        <f t="shared" si="54"/>
        <v>#VALUE!</v>
      </c>
      <c r="N695" t="s">
        <v>9</v>
      </c>
    </row>
    <row r="696" spans="1:14" x14ac:dyDescent="0.2">
      <c r="C696" t="s">
        <v>6</v>
      </c>
      <c r="D696">
        <v>2175718</v>
      </c>
      <c r="E696">
        <v>2688</v>
      </c>
      <c r="F696">
        <f t="shared" ref="F696:F703" si="56">M696-L696</f>
        <v>26</v>
      </c>
      <c r="I696" t="s">
        <v>81</v>
      </c>
      <c r="J696" t="s">
        <v>82</v>
      </c>
      <c r="L696" t="str">
        <f t="shared" si="53"/>
        <v>2020/01/06</v>
      </c>
      <c r="M696" t="str">
        <f t="shared" si="54"/>
        <v>2020/02/01</v>
      </c>
      <c r="N696" t="s">
        <v>9</v>
      </c>
    </row>
    <row r="697" spans="1:14" hidden="1" x14ac:dyDescent="0.2">
      <c r="C697" t="s">
        <v>10</v>
      </c>
      <c r="D697">
        <v>12485</v>
      </c>
      <c r="E697">
        <v>10</v>
      </c>
      <c r="F697">
        <f t="shared" si="56"/>
        <v>1</v>
      </c>
      <c r="I697" t="s">
        <v>105</v>
      </c>
      <c r="J697" t="s">
        <v>106</v>
      </c>
      <c r="L697" t="str">
        <f t="shared" si="53"/>
        <v>2020/01/16</v>
      </c>
      <c r="M697" t="str">
        <f t="shared" si="54"/>
        <v>2020/01/17</v>
      </c>
      <c r="N697" t="s">
        <v>28</v>
      </c>
    </row>
    <row r="698" spans="1:14" hidden="1" x14ac:dyDescent="0.2">
      <c r="C698" t="s">
        <v>10</v>
      </c>
      <c r="D698">
        <v>60216</v>
      </c>
      <c r="E698">
        <v>32</v>
      </c>
      <c r="F698">
        <f t="shared" si="56"/>
        <v>1</v>
      </c>
      <c r="I698" t="s">
        <v>214</v>
      </c>
      <c r="J698" t="s">
        <v>215</v>
      </c>
      <c r="L698" t="str">
        <f t="shared" si="53"/>
        <v>2020/01/25</v>
      </c>
      <c r="M698" t="str">
        <f t="shared" si="54"/>
        <v>2020/01/26</v>
      </c>
      <c r="N698" t="s">
        <v>28</v>
      </c>
    </row>
    <row r="699" spans="1:14" hidden="1" x14ac:dyDescent="0.2">
      <c r="C699" t="s">
        <v>39</v>
      </c>
      <c r="D699">
        <v>540287</v>
      </c>
      <c r="E699">
        <v>1454</v>
      </c>
      <c r="F699">
        <f t="shared" si="56"/>
        <v>343</v>
      </c>
      <c r="I699" t="s">
        <v>83</v>
      </c>
      <c r="J699" t="s">
        <v>84</v>
      </c>
      <c r="L699" t="str">
        <f t="shared" si="53"/>
        <v>2020/01/24</v>
      </c>
      <c r="M699" t="str">
        <f t="shared" si="54"/>
        <v>2021/01/01</v>
      </c>
      <c r="N699" t="s">
        <v>41</v>
      </c>
    </row>
    <row r="700" spans="1:14" hidden="1" x14ac:dyDescent="0.2">
      <c r="C700" t="s">
        <v>39</v>
      </c>
      <c r="D700">
        <v>79886</v>
      </c>
      <c r="E700">
        <v>189</v>
      </c>
      <c r="F700">
        <f t="shared" si="56"/>
        <v>343</v>
      </c>
      <c r="I700" t="s">
        <v>83</v>
      </c>
      <c r="J700" t="s">
        <v>84</v>
      </c>
      <c r="L700" t="str">
        <f t="shared" si="53"/>
        <v>2020/01/24</v>
      </c>
      <c r="M700" t="str">
        <f t="shared" si="54"/>
        <v>2021/01/01</v>
      </c>
      <c r="N700" t="s">
        <v>41</v>
      </c>
    </row>
    <row r="701" spans="1:14" x14ac:dyDescent="0.2">
      <c r="C701" t="s">
        <v>6</v>
      </c>
      <c r="D701">
        <v>5798</v>
      </c>
      <c r="E701">
        <v>65</v>
      </c>
      <c r="F701">
        <f t="shared" si="56"/>
        <v>105</v>
      </c>
      <c r="I701" t="s">
        <v>158</v>
      </c>
      <c r="J701" t="s">
        <v>159</v>
      </c>
      <c r="L701" t="str">
        <f t="shared" si="53"/>
        <v>2020/02/17</v>
      </c>
      <c r="M701" t="str">
        <f t="shared" si="54"/>
        <v>2020/06/01</v>
      </c>
      <c r="N701" t="s">
        <v>9</v>
      </c>
    </row>
    <row r="702" spans="1:14" hidden="1" x14ac:dyDescent="0.2">
      <c r="C702" t="s">
        <v>56</v>
      </c>
      <c r="D702">
        <v>27551</v>
      </c>
      <c r="E702">
        <v>30</v>
      </c>
      <c r="F702">
        <f t="shared" si="56"/>
        <v>41</v>
      </c>
      <c r="I702" t="s">
        <v>57</v>
      </c>
      <c r="J702" t="s">
        <v>58</v>
      </c>
      <c r="L702" t="str">
        <f t="shared" si="53"/>
        <v>2020/01/21</v>
      </c>
      <c r="M702" t="str">
        <f t="shared" si="54"/>
        <v>2020/03/02</v>
      </c>
      <c r="N702" t="s">
        <v>59</v>
      </c>
    </row>
    <row r="703" spans="1:14" x14ac:dyDescent="0.2">
      <c r="C703" t="s">
        <v>6</v>
      </c>
      <c r="D703">
        <v>681004</v>
      </c>
      <c r="E703">
        <v>934</v>
      </c>
      <c r="F703">
        <f t="shared" si="56"/>
        <v>26</v>
      </c>
      <c r="I703" t="s">
        <v>81</v>
      </c>
      <c r="J703" t="s">
        <v>82</v>
      </c>
      <c r="L703" t="str">
        <f t="shared" si="53"/>
        <v>2020/01/06</v>
      </c>
      <c r="M703" t="str">
        <f t="shared" si="54"/>
        <v>2020/02/01</v>
      </c>
      <c r="N703" t="s">
        <v>9</v>
      </c>
    </row>
    <row r="704" spans="1:14" hidden="1" x14ac:dyDescent="0.2">
      <c r="C704" t="s">
        <v>10</v>
      </c>
      <c r="D704">
        <v>739</v>
      </c>
      <c r="E704">
        <v>0</v>
      </c>
      <c r="I704" t="s">
        <v>36</v>
      </c>
      <c r="L704" t="str">
        <f t="shared" si="53"/>
        <v>2020/01/17</v>
      </c>
      <c r="M704" t="e">
        <f t="shared" si="54"/>
        <v>#VALUE!</v>
      </c>
      <c r="N704" t="s">
        <v>28</v>
      </c>
    </row>
    <row r="705" spans="1:14" hidden="1" x14ac:dyDescent="0.2">
      <c r="C705" t="s">
        <v>6</v>
      </c>
      <c r="D705">
        <v>207282</v>
      </c>
      <c r="E705">
        <v>277</v>
      </c>
      <c r="I705" t="s">
        <v>386</v>
      </c>
      <c r="L705" t="str">
        <f t="shared" si="53"/>
        <v>2020/02/20</v>
      </c>
      <c r="M705" t="e">
        <f t="shared" si="54"/>
        <v>#VALUE!</v>
      </c>
      <c r="N705" t="s">
        <v>9</v>
      </c>
    </row>
    <row r="706" spans="1:14" hidden="1" x14ac:dyDescent="0.2">
      <c r="C706" t="s">
        <v>56</v>
      </c>
      <c r="D706">
        <v>46653</v>
      </c>
      <c r="E706">
        <v>134</v>
      </c>
      <c r="F706">
        <f>M706-L706</f>
        <v>8</v>
      </c>
      <c r="I706" t="s">
        <v>88</v>
      </c>
      <c r="J706" t="s">
        <v>89</v>
      </c>
      <c r="L706" t="str">
        <f t="shared" si="53"/>
        <v>2020/01/20</v>
      </c>
      <c r="M706" t="str">
        <f t="shared" si="54"/>
        <v>2020/01/28</v>
      </c>
      <c r="N706" t="s">
        <v>59</v>
      </c>
    </row>
    <row r="707" spans="1:14" hidden="1" x14ac:dyDescent="0.2">
      <c r="C707" t="s">
        <v>39</v>
      </c>
      <c r="D707">
        <v>70154</v>
      </c>
      <c r="E707">
        <v>150</v>
      </c>
      <c r="F707">
        <f>M707-L707</f>
        <v>343</v>
      </c>
      <c r="I707" t="s">
        <v>83</v>
      </c>
      <c r="J707" t="s">
        <v>84</v>
      </c>
      <c r="L707" t="str">
        <f t="shared" ref="L707:L770" si="57">LEFT(I707,FIND(" ",I707)-1)</f>
        <v>2020/01/24</v>
      </c>
      <c r="M707" t="str">
        <f t="shared" ref="M707:M770" si="58">LEFT(J707,FIND(" ",J707)-1)</f>
        <v>2021/01/01</v>
      </c>
      <c r="N707" t="s">
        <v>41</v>
      </c>
    </row>
    <row r="708" spans="1:14" x14ac:dyDescent="0.2">
      <c r="C708" t="s">
        <v>6</v>
      </c>
      <c r="D708">
        <v>724236</v>
      </c>
      <c r="E708">
        <v>2054</v>
      </c>
      <c r="F708">
        <f>M708-L708</f>
        <v>29</v>
      </c>
      <c r="I708" t="s">
        <v>261</v>
      </c>
      <c r="J708" t="s">
        <v>52</v>
      </c>
      <c r="L708" t="str">
        <f t="shared" si="57"/>
        <v>2020/02/01</v>
      </c>
      <c r="M708" t="str">
        <f t="shared" si="58"/>
        <v>2020/03/01</v>
      </c>
      <c r="N708" t="s">
        <v>9</v>
      </c>
    </row>
    <row r="709" spans="1:14" hidden="1" x14ac:dyDescent="0.2">
      <c r="C709" t="s">
        <v>6</v>
      </c>
      <c r="D709">
        <v>145787</v>
      </c>
      <c r="E709">
        <v>226</v>
      </c>
      <c r="I709" t="s">
        <v>92</v>
      </c>
      <c r="L709" t="str">
        <f t="shared" si="57"/>
        <v>2020/01/31</v>
      </c>
      <c r="M709" t="e">
        <f t="shared" si="58"/>
        <v>#VALUE!</v>
      </c>
      <c r="N709" t="s">
        <v>9</v>
      </c>
    </row>
    <row r="710" spans="1:14" hidden="1" x14ac:dyDescent="0.2">
      <c r="C710" t="s">
        <v>10</v>
      </c>
      <c r="D710">
        <v>67738</v>
      </c>
      <c r="E710">
        <v>240</v>
      </c>
      <c r="F710">
        <f>M710-L710</f>
        <v>11</v>
      </c>
      <c r="I710" t="s">
        <v>387</v>
      </c>
      <c r="J710" t="s">
        <v>388</v>
      </c>
      <c r="L710" t="str">
        <f t="shared" si="57"/>
        <v>2020/01/15</v>
      </c>
      <c r="M710" t="str">
        <f t="shared" si="58"/>
        <v>2020/01/26</v>
      </c>
      <c r="N710" t="s">
        <v>187</v>
      </c>
    </row>
    <row r="711" spans="1:14" hidden="1" x14ac:dyDescent="0.2">
      <c r="C711" t="s">
        <v>56</v>
      </c>
      <c r="D711">
        <v>36121</v>
      </c>
      <c r="E711">
        <v>27</v>
      </c>
      <c r="F711">
        <f>M711-L711</f>
        <v>7</v>
      </c>
      <c r="I711" t="s">
        <v>145</v>
      </c>
      <c r="J711" t="s">
        <v>146</v>
      </c>
      <c r="L711" t="str">
        <f t="shared" si="57"/>
        <v>2020/01/03</v>
      </c>
      <c r="M711" t="str">
        <f t="shared" si="58"/>
        <v>2020/01/10</v>
      </c>
      <c r="N711" t="s">
        <v>59</v>
      </c>
    </row>
    <row r="712" spans="1:14" hidden="1" x14ac:dyDescent="0.2">
      <c r="A712" s="1"/>
      <c r="C712" t="s">
        <v>39</v>
      </c>
      <c r="D712">
        <v>13128</v>
      </c>
      <c r="E712">
        <v>25</v>
      </c>
      <c r="F712">
        <f>M712-L712</f>
        <v>343</v>
      </c>
      <c r="I712" t="s">
        <v>83</v>
      </c>
      <c r="J712" t="s">
        <v>84</v>
      </c>
      <c r="L712" t="str">
        <f t="shared" si="57"/>
        <v>2020/01/24</v>
      </c>
      <c r="M712" t="str">
        <f t="shared" si="58"/>
        <v>2021/01/01</v>
      </c>
      <c r="N712" t="s">
        <v>41</v>
      </c>
    </row>
    <row r="713" spans="1:14" hidden="1" x14ac:dyDescent="0.2">
      <c r="C713" t="s">
        <v>6</v>
      </c>
      <c r="D713">
        <v>410885</v>
      </c>
      <c r="E713">
        <v>462</v>
      </c>
      <c r="I713" t="s">
        <v>389</v>
      </c>
      <c r="L713" t="str">
        <f t="shared" si="57"/>
        <v>2020/02/07</v>
      </c>
      <c r="M713" t="e">
        <f t="shared" si="58"/>
        <v>#VALUE!</v>
      </c>
      <c r="N713" t="s">
        <v>9</v>
      </c>
    </row>
    <row r="714" spans="1:14" x14ac:dyDescent="0.2">
      <c r="C714" t="s">
        <v>6</v>
      </c>
      <c r="D714">
        <v>220766</v>
      </c>
      <c r="E714">
        <v>2113</v>
      </c>
      <c r="F714">
        <f>M714-L714</f>
        <v>29</v>
      </c>
      <c r="I714" t="s">
        <v>94</v>
      </c>
      <c r="J714" t="s">
        <v>61</v>
      </c>
      <c r="L714" t="str">
        <f t="shared" si="57"/>
        <v>2020/02/01</v>
      </c>
      <c r="M714" t="str">
        <f t="shared" si="58"/>
        <v>2020/03/01</v>
      </c>
      <c r="N714" t="s">
        <v>9</v>
      </c>
    </row>
    <row r="715" spans="1:14" hidden="1" x14ac:dyDescent="0.2">
      <c r="C715" t="s">
        <v>6</v>
      </c>
      <c r="D715">
        <v>679146</v>
      </c>
      <c r="E715">
        <v>821</v>
      </c>
      <c r="I715" t="s">
        <v>390</v>
      </c>
      <c r="L715" t="str">
        <f t="shared" si="57"/>
        <v>2020/02/07</v>
      </c>
      <c r="M715" t="e">
        <f t="shared" si="58"/>
        <v>#VALUE!</v>
      </c>
      <c r="N715" t="s">
        <v>9</v>
      </c>
    </row>
    <row r="716" spans="1:14" hidden="1" x14ac:dyDescent="0.2">
      <c r="C716" t="s">
        <v>6</v>
      </c>
      <c r="D716">
        <v>9572</v>
      </c>
      <c r="E716">
        <v>20</v>
      </c>
      <c r="I716" t="s">
        <v>368</v>
      </c>
      <c r="L716" t="str">
        <f t="shared" si="57"/>
        <v>2020/01/30</v>
      </c>
      <c r="M716" t="e">
        <f t="shared" si="58"/>
        <v>#VALUE!</v>
      </c>
      <c r="N716" t="s">
        <v>9</v>
      </c>
    </row>
    <row r="717" spans="1:14" hidden="1" x14ac:dyDescent="0.2">
      <c r="C717" t="s">
        <v>10</v>
      </c>
      <c r="D717">
        <v>648695</v>
      </c>
      <c r="E717">
        <v>861</v>
      </c>
      <c r="F717">
        <f>M717-L717</f>
        <v>11</v>
      </c>
      <c r="I717" t="s">
        <v>33</v>
      </c>
      <c r="J717" t="s">
        <v>34</v>
      </c>
      <c r="L717" t="str">
        <f t="shared" si="57"/>
        <v>2020/02/03</v>
      </c>
      <c r="M717" t="str">
        <f t="shared" si="58"/>
        <v>2020/02/14</v>
      </c>
      <c r="N717" t="s">
        <v>35</v>
      </c>
    </row>
    <row r="718" spans="1:14" x14ac:dyDescent="0.2">
      <c r="C718" t="s">
        <v>6</v>
      </c>
      <c r="D718">
        <v>21400</v>
      </c>
      <c r="E718">
        <v>36</v>
      </c>
      <c r="F718">
        <f>M718-L718</f>
        <v>226</v>
      </c>
      <c r="I718" t="s">
        <v>21</v>
      </c>
      <c r="J718" t="s">
        <v>22</v>
      </c>
      <c r="L718" t="str">
        <f t="shared" si="57"/>
        <v>2019/10/18</v>
      </c>
      <c r="M718" t="str">
        <f t="shared" si="58"/>
        <v>2020/05/31</v>
      </c>
      <c r="N718" t="s">
        <v>9</v>
      </c>
    </row>
    <row r="719" spans="1:14" hidden="1" x14ac:dyDescent="0.2">
      <c r="C719" t="s">
        <v>6</v>
      </c>
      <c r="D719">
        <v>13848</v>
      </c>
      <c r="E719">
        <v>19</v>
      </c>
      <c r="I719" t="s">
        <v>328</v>
      </c>
      <c r="L719" t="str">
        <f t="shared" si="57"/>
        <v>2020/01/22</v>
      </c>
      <c r="M719" t="e">
        <f t="shared" si="58"/>
        <v>#VALUE!</v>
      </c>
      <c r="N719" t="s">
        <v>9</v>
      </c>
    </row>
    <row r="720" spans="1:14" x14ac:dyDescent="0.2">
      <c r="C720" t="s">
        <v>6</v>
      </c>
      <c r="D720">
        <v>486542</v>
      </c>
      <c r="E720">
        <v>4662</v>
      </c>
      <c r="F720">
        <f>M720-L720</f>
        <v>10</v>
      </c>
      <c r="I720" t="s">
        <v>133</v>
      </c>
      <c r="J720" t="s">
        <v>134</v>
      </c>
      <c r="L720" t="str">
        <f t="shared" si="57"/>
        <v>2020/02/22</v>
      </c>
      <c r="M720" t="str">
        <f t="shared" si="58"/>
        <v>2020/03/03</v>
      </c>
      <c r="N720" t="s">
        <v>9</v>
      </c>
    </row>
    <row r="721" spans="1:14" x14ac:dyDescent="0.2">
      <c r="C721" t="s">
        <v>6</v>
      </c>
      <c r="D721">
        <v>30289</v>
      </c>
      <c r="E721">
        <v>68</v>
      </c>
      <c r="F721">
        <f>M721-L721</f>
        <v>16</v>
      </c>
      <c r="I721" t="s">
        <v>101</v>
      </c>
      <c r="J721" t="s">
        <v>102</v>
      </c>
      <c r="L721" t="str">
        <f t="shared" si="57"/>
        <v>2020/02/12</v>
      </c>
      <c r="M721" t="str">
        <f t="shared" si="58"/>
        <v>2020/02/28</v>
      </c>
      <c r="N721" t="s">
        <v>9</v>
      </c>
    </row>
    <row r="722" spans="1:14" hidden="1" x14ac:dyDescent="0.2">
      <c r="A722" s="1"/>
      <c r="C722" t="s">
        <v>10</v>
      </c>
      <c r="D722">
        <v>6557</v>
      </c>
      <c r="E722">
        <v>5</v>
      </c>
      <c r="F722">
        <f>M722-L722</f>
        <v>0</v>
      </c>
      <c r="I722" t="s">
        <v>376</v>
      </c>
      <c r="J722" t="s">
        <v>89</v>
      </c>
      <c r="L722" t="str">
        <f t="shared" si="57"/>
        <v>2020/01/28</v>
      </c>
      <c r="M722" t="str">
        <f t="shared" si="58"/>
        <v>2020/01/28</v>
      </c>
      <c r="N722" t="s">
        <v>28</v>
      </c>
    </row>
    <row r="723" spans="1:14" hidden="1" x14ac:dyDescent="0.2">
      <c r="C723" t="s">
        <v>10</v>
      </c>
      <c r="D723">
        <v>1599</v>
      </c>
      <c r="E723">
        <v>1</v>
      </c>
      <c r="I723" t="s">
        <v>36</v>
      </c>
      <c r="L723" t="str">
        <f t="shared" si="57"/>
        <v>2020/01/17</v>
      </c>
      <c r="M723" t="e">
        <f t="shared" si="58"/>
        <v>#VALUE!</v>
      </c>
      <c r="N723" t="s">
        <v>28</v>
      </c>
    </row>
    <row r="724" spans="1:14" x14ac:dyDescent="0.2">
      <c r="C724" t="s">
        <v>6</v>
      </c>
      <c r="D724">
        <v>4414401</v>
      </c>
      <c r="E724">
        <v>9220</v>
      </c>
      <c r="F724">
        <f t="shared" ref="F724:F732" si="59">M724-L724</f>
        <v>8</v>
      </c>
      <c r="I724" t="s">
        <v>62</v>
      </c>
      <c r="J724" t="s">
        <v>63</v>
      </c>
      <c r="L724" t="str">
        <f t="shared" si="57"/>
        <v>2020/02/08</v>
      </c>
      <c r="M724" t="str">
        <f t="shared" si="58"/>
        <v>2020/02/16</v>
      </c>
      <c r="N724" t="s">
        <v>9</v>
      </c>
    </row>
    <row r="725" spans="1:14" x14ac:dyDescent="0.2">
      <c r="C725" t="s">
        <v>6</v>
      </c>
      <c r="D725">
        <v>248354</v>
      </c>
      <c r="E725">
        <v>441</v>
      </c>
      <c r="F725">
        <f t="shared" si="59"/>
        <v>32</v>
      </c>
      <c r="I725" t="s">
        <v>72</v>
      </c>
      <c r="J725" t="s">
        <v>104</v>
      </c>
      <c r="L725" t="str">
        <f t="shared" si="57"/>
        <v>2020/01/03</v>
      </c>
      <c r="M725" t="str">
        <f t="shared" si="58"/>
        <v>2020/02/04</v>
      </c>
      <c r="N725" t="s">
        <v>9</v>
      </c>
    </row>
    <row r="726" spans="1:14" x14ac:dyDescent="0.2">
      <c r="C726" t="s">
        <v>6</v>
      </c>
      <c r="D726">
        <v>1195732</v>
      </c>
      <c r="E726">
        <v>3757</v>
      </c>
      <c r="F726">
        <f t="shared" si="59"/>
        <v>31</v>
      </c>
      <c r="I726" t="s">
        <v>45</v>
      </c>
      <c r="J726" t="s">
        <v>46</v>
      </c>
      <c r="L726" t="str">
        <f t="shared" si="57"/>
        <v>2020/01/01</v>
      </c>
      <c r="M726" t="str">
        <f t="shared" si="58"/>
        <v>2020/02/01</v>
      </c>
      <c r="N726" t="s">
        <v>9</v>
      </c>
    </row>
    <row r="727" spans="1:14" x14ac:dyDescent="0.2">
      <c r="C727" t="s">
        <v>6</v>
      </c>
      <c r="D727">
        <v>143332</v>
      </c>
      <c r="E727">
        <v>287</v>
      </c>
      <c r="F727">
        <f t="shared" si="59"/>
        <v>26</v>
      </c>
      <c r="I727" t="s">
        <v>60</v>
      </c>
      <c r="J727" t="s">
        <v>61</v>
      </c>
      <c r="L727" t="str">
        <f t="shared" si="57"/>
        <v>2020/02/04</v>
      </c>
      <c r="M727" t="str">
        <f t="shared" si="58"/>
        <v>2020/03/01</v>
      </c>
      <c r="N727" t="s">
        <v>9</v>
      </c>
    </row>
    <row r="728" spans="1:14" x14ac:dyDescent="0.2">
      <c r="C728" t="s">
        <v>6</v>
      </c>
      <c r="D728">
        <v>10542</v>
      </c>
      <c r="E728">
        <v>29</v>
      </c>
      <c r="F728">
        <f t="shared" si="59"/>
        <v>111</v>
      </c>
      <c r="I728" t="s">
        <v>147</v>
      </c>
      <c r="J728" t="s">
        <v>148</v>
      </c>
      <c r="L728" t="str">
        <f t="shared" si="57"/>
        <v>2020/02/10</v>
      </c>
      <c r="M728" t="str">
        <f t="shared" si="58"/>
        <v>2020/05/31</v>
      </c>
      <c r="N728" t="s">
        <v>9</v>
      </c>
    </row>
    <row r="729" spans="1:14" x14ac:dyDescent="0.2">
      <c r="C729" t="s">
        <v>6</v>
      </c>
      <c r="D729">
        <v>463124</v>
      </c>
      <c r="E729">
        <v>928</v>
      </c>
      <c r="F729">
        <f t="shared" si="59"/>
        <v>12</v>
      </c>
      <c r="I729" t="s">
        <v>55</v>
      </c>
      <c r="J729" t="s">
        <v>46</v>
      </c>
      <c r="L729" t="str">
        <f t="shared" si="57"/>
        <v>2020/01/20</v>
      </c>
      <c r="M729" t="str">
        <f t="shared" si="58"/>
        <v>2020/02/01</v>
      </c>
      <c r="N729" t="s">
        <v>9</v>
      </c>
    </row>
    <row r="730" spans="1:14" x14ac:dyDescent="0.2">
      <c r="C730" t="s">
        <v>6</v>
      </c>
      <c r="D730">
        <v>555995</v>
      </c>
      <c r="E730">
        <v>3990</v>
      </c>
      <c r="F730">
        <f t="shared" si="59"/>
        <v>23</v>
      </c>
      <c r="I730" t="s">
        <v>391</v>
      </c>
      <c r="J730" t="s">
        <v>212</v>
      </c>
      <c r="L730" t="str">
        <f t="shared" si="57"/>
        <v>2020/01/28</v>
      </c>
      <c r="M730" t="str">
        <f t="shared" si="58"/>
        <v>2020/02/20</v>
      </c>
      <c r="N730" t="s">
        <v>9</v>
      </c>
    </row>
    <row r="731" spans="1:14" x14ac:dyDescent="0.2">
      <c r="C731" t="s">
        <v>6</v>
      </c>
      <c r="D731">
        <v>48546</v>
      </c>
      <c r="E731">
        <v>104</v>
      </c>
      <c r="F731">
        <f t="shared" si="59"/>
        <v>12</v>
      </c>
      <c r="I731" t="s">
        <v>19</v>
      </c>
      <c r="J731" t="s">
        <v>26</v>
      </c>
      <c r="L731" t="str">
        <f t="shared" si="57"/>
        <v>2020/01/23</v>
      </c>
      <c r="M731" t="str">
        <f t="shared" si="58"/>
        <v>2020/02/04</v>
      </c>
      <c r="N731" t="s">
        <v>9</v>
      </c>
    </row>
    <row r="732" spans="1:14" x14ac:dyDescent="0.2">
      <c r="C732" t="s">
        <v>6</v>
      </c>
      <c r="D732">
        <v>2061</v>
      </c>
      <c r="E732">
        <v>3</v>
      </c>
      <c r="F732">
        <f t="shared" si="59"/>
        <v>1</v>
      </c>
      <c r="I732" t="s">
        <v>392</v>
      </c>
      <c r="J732" t="s">
        <v>393</v>
      </c>
      <c r="L732" t="str">
        <f t="shared" si="57"/>
        <v>2020/01/30</v>
      </c>
      <c r="M732" t="str">
        <f t="shared" si="58"/>
        <v>2020/01/31</v>
      </c>
      <c r="N732" t="s">
        <v>9</v>
      </c>
    </row>
    <row r="733" spans="1:14" hidden="1" x14ac:dyDescent="0.2">
      <c r="C733" t="s">
        <v>6</v>
      </c>
      <c r="D733">
        <v>3507460</v>
      </c>
      <c r="E733">
        <v>1329</v>
      </c>
      <c r="I733" t="s">
        <v>394</v>
      </c>
      <c r="L733" t="str">
        <f t="shared" si="57"/>
        <v>2020/01/10</v>
      </c>
      <c r="M733" t="e">
        <f t="shared" si="58"/>
        <v>#VALUE!</v>
      </c>
      <c r="N733" t="s">
        <v>9</v>
      </c>
    </row>
    <row r="734" spans="1:14" hidden="1" x14ac:dyDescent="0.2">
      <c r="C734" t="s">
        <v>6</v>
      </c>
      <c r="D734">
        <v>5860</v>
      </c>
      <c r="E734">
        <v>10</v>
      </c>
      <c r="I734" t="s">
        <v>375</v>
      </c>
      <c r="L734" t="str">
        <f t="shared" si="57"/>
        <v>2020/02/08</v>
      </c>
      <c r="M734" t="e">
        <f t="shared" si="58"/>
        <v>#VALUE!</v>
      </c>
      <c r="N734" t="s">
        <v>9</v>
      </c>
    </row>
    <row r="735" spans="1:14" x14ac:dyDescent="0.2">
      <c r="C735" t="s">
        <v>6</v>
      </c>
      <c r="D735">
        <v>495749</v>
      </c>
      <c r="E735">
        <v>4750</v>
      </c>
      <c r="F735">
        <f>M735-L735</f>
        <v>10</v>
      </c>
      <c r="I735" t="s">
        <v>133</v>
      </c>
      <c r="J735" t="s">
        <v>134</v>
      </c>
      <c r="L735" t="str">
        <f t="shared" si="57"/>
        <v>2020/02/22</v>
      </c>
      <c r="M735" t="str">
        <f t="shared" si="58"/>
        <v>2020/03/03</v>
      </c>
      <c r="N735" t="s">
        <v>9</v>
      </c>
    </row>
    <row r="736" spans="1:14" x14ac:dyDescent="0.2">
      <c r="C736" t="s">
        <v>6</v>
      </c>
      <c r="D736">
        <v>4253082</v>
      </c>
      <c r="E736">
        <v>41593</v>
      </c>
      <c r="F736">
        <f>M736-L736</f>
        <v>21</v>
      </c>
      <c r="I736" t="s">
        <v>154</v>
      </c>
      <c r="J736" t="s">
        <v>150</v>
      </c>
      <c r="L736" t="str">
        <f t="shared" si="57"/>
        <v>2020/01/08</v>
      </c>
      <c r="M736" t="str">
        <f t="shared" si="58"/>
        <v>2020/01/29</v>
      </c>
      <c r="N736" t="s">
        <v>9</v>
      </c>
    </row>
    <row r="737" spans="3:14" hidden="1" x14ac:dyDescent="0.2">
      <c r="C737" t="s">
        <v>6</v>
      </c>
      <c r="D737">
        <v>62018</v>
      </c>
      <c r="E737">
        <v>93</v>
      </c>
      <c r="I737" t="s">
        <v>395</v>
      </c>
      <c r="L737" t="str">
        <f t="shared" si="57"/>
        <v>2020/02/03</v>
      </c>
      <c r="M737" t="e">
        <f t="shared" si="58"/>
        <v>#VALUE!</v>
      </c>
      <c r="N737" t="s">
        <v>9</v>
      </c>
    </row>
    <row r="738" spans="3:14" hidden="1" x14ac:dyDescent="0.2">
      <c r="C738" t="s">
        <v>6</v>
      </c>
      <c r="D738">
        <v>4349</v>
      </c>
      <c r="E738">
        <v>7</v>
      </c>
      <c r="I738" t="s">
        <v>396</v>
      </c>
      <c r="L738" t="str">
        <f t="shared" si="57"/>
        <v>2020/01/18</v>
      </c>
      <c r="M738" t="e">
        <f t="shared" si="58"/>
        <v>#VALUE!</v>
      </c>
      <c r="N738" t="s">
        <v>9</v>
      </c>
    </row>
    <row r="739" spans="3:14" x14ac:dyDescent="0.2">
      <c r="C739" t="s">
        <v>6</v>
      </c>
      <c r="D739">
        <v>83409</v>
      </c>
      <c r="E739">
        <v>198</v>
      </c>
      <c r="F739">
        <f>M739-L739</f>
        <v>17</v>
      </c>
      <c r="I739" t="s">
        <v>189</v>
      </c>
      <c r="J739" t="s">
        <v>190</v>
      </c>
      <c r="L739" t="str">
        <f t="shared" si="57"/>
        <v>2020/01/22</v>
      </c>
      <c r="M739" t="str">
        <f t="shared" si="58"/>
        <v>2020/02/08</v>
      </c>
      <c r="N739" t="s">
        <v>9</v>
      </c>
    </row>
    <row r="740" spans="3:14" x14ac:dyDescent="0.2">
      <c r="C740" t="s">
        <v>6</v>
      </c>
      <c r="D740">
        <v>73151</v>
      </c>
      <c r="E740">
        <v>159</v>
      </c>
      <c r="F740">
        <f>M740-L740</f>
        <v>32</v>
      </c>
      <c r="I740" t="s">
        <v>152</v>
      </c>
      <c r="J740" t="s">
        <v>153</v>
      </c>
      <c r="L740" t="str">
        <f t="shared" si="57"/>
        <v>2020/01/28</v>
      </c>
      <c r="M740" t="str">
        <f t="shared" si="58"/>
        <v>2020/02/29</v>
      </c>
      <c r="N740" t="s">
        <v>9</v>
      </c>
    </row>
    <row r="741" spans="3:14" hidden="1" x14ac:dyDescent="0.2">
      <c r="C741" t="s">
        <v>10</v>
      </c>
      <c r="D741">
        <v>1260</v>
      </c>
      <c r="E741">
        <v>0</v>
      </c>
      <c r="I741" t="s">
        <v>36</v>
      </c>
      <c r="L741" t="str">
        <f t="shared" si="57"/>
        <v>2020/01/17</v>
      </c>
      <c r="M741" t="e">
        <f t="shared" si="58"/>
        <v>#VALUE!</v>
      </c>
      <c r="N741" t="s">
        <v>28</v>
      </c>
    </row>
    <row r="742" spans="3:14" hidden="1" x14ac:dyDescent="0.2">
      <c r="C742" t="s">
        <v>56</v>
      </c>
      <c r="D742">
        <v>26719</v>
      </c>
      <c r="E742">
        <v>38</v>
      </c>
      <c r="F742">
        <f>M742-L742</f>
        <v>8</v>
      </c>
      <c r="I742" t="s">
        <v>97</v>
      </c>
      <c r="J742" t="s">
        <v>239</v>
      </c>
      <c r="L742" t="str">
        <f t="shared" si="57"/>
        <v>2020/01/20</v>
      </c>
      <c r="M742" t="str">
        <f t="shared" si="58"/>
        <v>2020/01/28</v>
      </c>
      <c r="N742" t="s">
        <v>59</v>
      </c>
    </row>
    <row r="743" spans="3:14" hidden="1" x14ac:dyDescent="0.2">
      <c r="C743" t="s">
        <v>56</v>
      </c>
      <c r="D743">
        <v>76473</v>
      </c>
      <c r="E743">
        <v>65</v>
      </c>
      <c r="F743">
        <f>M743-L743</f>
        <v>41</v>
      </c>
      <c r="I743" t="s">
        <v>57</v>
      </c>
      <c r="J743" t="s">
        <v>58</v>
      </c>
      <c r="L743" t="str">
        <f t="shared" si="57"/>
        <v>2020/01/21</v>
      </c>
      <c r="M743" t="str">
        <f t="shared" si="58"/>
        <v>2020/03/02</v>
      </c>
      <c r="N743" t="s">
        <v>59</v>
      </c>
    </row>
    <row r="744" spans="3:14" hidden="1" x14ac:dyDescent="0.2">
      <c r="C744" t="s">
        <v>39</v>
      </c>
      <c r="D744">
        <v>11865</v>
      </c>
      <c r="E744">
        <v>29</v>
      </c>
      <c r="I744" t="s">
        <v>40</v>
      </c>
      <c r="L744" t="str">
        <f t="shared" si="57"/>
        <v>2020/02/01</v>
      </c>
      <c r="M744" t="e">
        <f t="shared" si="58"/>
        <v>#VALUE!</v>
      </c>
      <c r="N744" t="s">
        <v>41</v>
      </c>
    </row>
    <row r="745" spans="3:14" hidden="1" x14ac:dyDescent="0.2">
      <c r="C745" t="s">
        <v>10</v>
      </c>
      <c r="D745">
        <v>611</v>
      </c>
      <c r="E745">
        <v>0</v>
      </c>
      <c r="F745">
        <f>M745-L745</f>
        <v>4</v>
      </c>
      <c r="I745" t="s">
        <v>53</v>
      </c>
      <c r="J745" t="s">
        <v>54</v>
      </c>
      <c r="L745" t="str">
        <f t="shared" si="57"/>
        <v>2020/01/17</v>
      </c>
      <c r="M745" t="str">
        <f t="shared" si="58"/>
        <v>2020/01/21</v>
      </c>
      <c r="N745" t="s">
        <v>28</v>
      </c>
    </row>
    <row r="746" spans="3:14" hidden="1" x14ac:dyDescent="0.2">
      <c r="C746" t="s">
        <v>10</v>
      </c>
      <c r="D746">
        <v>11573</v>
      </c>
      <c r="E746">
        <v>7</v>
      </c>
      <c r="F746">
        <f>M746-L746</f>
        <v>1</v>
      </c>
      <c r="I746" t="s">
        <v>204</v>
      </c>
      <c r="J746" t="s">
        <v>205</v>
      </c>
      <c r="L746" t="str">
        <f t="shared" si="57"/>
        <v>2020/01/29</v>
      </c>
      <c r="M746" t="str">
        <f t="shared" si="58"/>
        <v>2020/01/30</v>
      </c>
      <c r="N746" t="s">
        <v>28</v>
      </c>
    </row>
    <row r="747" spans="3:14" hidden="1" x14ac:dyDescent="0.2">
      <c r="C747" t="s">
        <v>6</v>
      </c>
      <c r="D747">
        <v>89807</v>
      </c>
      <c r="E747">
        <v>140</v>
      </c>
      <c r="I747" t="s">
        <v>375</v>
      </c>
      <c r="L747" t="str">
        <f t="shared" si="57"/>
        <v>2020/02/08</v>
      </c>
      <c r="M747" t="e">
        <f t="shared" si="58"/>
        <v>#VALUE!</v>
      </c>
      <c r="N747" t="s">
        <v>9</v>
      </c>
    </row>
    <row r="748" spans="3:14" hidden="1" x14ac:dyDescent="0.2">
      <c r="C748" t="s">
        <v>39</v>
      </c>
      <c r="D748">
        <v>843825</v>
      </c>
      <c r="E748">
        <v>1019</v>
      </c>
      <c r="F748">
        <f>M748-L748</f>
        <v>28</v>
      </c>
      <c r="I748" t="s">
        <v>244</v>
      </c>
      <c r="J748" t="s">
        <v>245</v>
      </c>
      <c r="L748" t="str">
        <f t="shared" si="57"/>
        <v>2020/02/18</v>
      </c>
      <c r="M748" t="str">
        <f t="shared" si="58"/>
        <v>2020/03/17</v>
      </c>
      <c r="N748" t="s">
        <v>41</v>
      </c>
    </row>
    <row r="749" spans="3:14" hidden="1" x14ac:dyDescent="0.2">
      <c r="C749" t="s">
        <v>10</v>
      </c>
      <c r="D749">
        <v>120598</v>
      </c>
      <c r="E749">
        <v>258</v>
      </c>
      <c r="F749">
        <f>M749-L749</f>
        <v>4</v>
      </c>
      <c r="I749" t="s">
        <v>287</v>
      </c>
      <c r="J749" t="s">
        <v>288</v>
      </c>
      <c r="L749" t="str">
        <f t="shared" si="57"/>
        <v>2020/01/02</v>
      </c>
      <c r="M749" t="str">
        <f t="shared" si="58"/>
        <v>2020/01/06</v>
      </c>
      <c r="N749" t="s">
        <v>187</v>
      </c>
    </row>
    <row r="750" spans="3:14" hidden="1" x14ac:dyDescent="0.2">
      <c r="C750" t="s">
        <v>10</v>
      </c>
      <c r="D750">
        <v>1540</v>
      </c>
      <c r="E750">
        <v>0</v>
      </c>
      <c r="I750" t="s">
        <v>36</v>
      </c>
      <c r="L750" t="str">
        <f t="shared" si="57"/>
        <v>2020/01/17</v>
      </c>
      <c r="M750" t="e">
        <f t="shared" si="58"/>
        <v>#VALUE!</v>
      </c>
      <c r="N750" t="s">
        <v>28</v>
      </c>
    </row>
    <row r="751" spans="3:14" hidden="1" x14ac:dyDescent="0.2">
      <c r="C751" t="s">
        <v>39</v>
      </c>
      <c r="D751">
        <v>260139</v>
      </c>
      <c r="E751">
        <v>645</v>
      </c>
      <c r="I751" t="s">
        <v>40</v>
      </c>
      <c r="L751" t="str">
        <f t="shared" si="57"/>
        <v>2020/02/01</v>
      </c>
      <c r="M751" t="e">
        <f t="shared" si="58"/>
        <v>#VALUE!</v>
      </c>
      <c r="N751" t="s">
        <v>41</v>
      </c>
    </row>
    <row r="752" spans="3:14" x14ac:dyDescent="0.2">
      <c r="C752" t="s">
        <v>6</v>
      </c>
      <c r="D752">
        <v>97854</v>
      </c>
      <c r="E752">
        <v>935</v>
      </c>
      <c r="F752">
        <f>M752-L752</f>
        <v>12</v>
      </c>
      <c r="I752" t="s">
        <v>55</v>
      </c>
      <c r="J752" t="s">
        <v>46</v>
      </c>
      <c r="L752" t="str">
        <f t="shared" si="57"/>
        <v>2020/01/20</v>
      </c>
      <c r="M752" t="str">
        <f t="shared" si="58"/>
        <v>2020/02/01</v>
      </c>
      <c r="N752" t="s">
        <v>9</v>
      </c>
    </row>
    <row r="753" spans="3:14" x14ac:dyDescent="0.2">
      <c r="C753" t="s">
        <v>6</v>
      </c>
      <c r="D753">
        <v>49631</v>
      </c>
      <c r="E753">
        <v>54</v>
      </c>
      <c r="F753">
        <f>M753-L753</f>
        <v>31</v>
      </c>
      <c r="I753" t="s">
        <v>45</v>
      </c>
      <c r="J753" t="s">
        <v>46</v>
      </c>
      <c r="L753" t="str">
        <f t="shared" si="57"/>
        <v>2020/01/01</v>
      </c>
      <c r="M753" t="str">
        <f t="shared" si="58"/>
        <v>2020/02/01</v>
      </c>
      <c r="N753" t="s">
        <v>9</v>
      </c>
    </row>
    <row r="754" spans="3:14" x14ac:dyDescent="0.2">
      <c r="C754" t="s">
        <v>6</v>
      </c>
      <c r="D754">
        <v>10789</v>
      </c>
      <c r="E754">
        <v>41</v>
      </c>
      <c r="F754">
        <f>M754-L754</f>
        <v>12</v>
      </c>
      <c r="I754" t="s">
        <v>23</v>
      </c>
      <c r="J754" t="s">
        <v>24</v>
      </c>
      <c r="L754" t="str">
        <f t="shared" si="57"/>
        <v>2020/02/21</v>
      </c>
      <c r="M754" t="str">
        <f t="shared" si="58"/>
        <v>2020/03/04</v>
      </c>
      <c r="N754" t="s">
        <v>9</v>
      </c>
    </row>
    <row r="755" spans="3:14" hidden="1" x14ac:dyDescent="0.2">
      <c r="C755" t="s">
        <v>6</v>
      </c>
      <c r="D755">
        <v>7702</v>
      </c>
      <c r="E755">
        <v>15</v>
      </c>
      <c r="I755" t="s">
        <v>196</v>
      </c>
      <c r="L755" t="str">
        <f t="shared" si="57"/>
        <v>2020/01/24</v>
      </c>
      <c r="M755" t="e">
        <f t="shared" si="58"/>
        <v>#VALUE!</v>
      </c>
      <c r="N755" t="s">
        <v>9</v>
      </c>
    </row>
    <row r="756" spans="3:14" hidden="1" x14ac:dyDescent="0.2">
      <c r="C756" t="s">
        <v>10</v>
      </c>
      <c r="D756">
        <v>578106</v>
      </c>
      <c r="E756">
        <v>439</v>
      </c>
      <c r="F756">
        <f>M756-L756</f>
        <v>4</v>
      </c>
      <c r="I756" t="s">
        <v>397</v>
      </c>
      <c r="J756" t="s">
        <v>398</v>
      </c>
      <c r="L756" t="str">
        <f t="shared" si="57"/>
        <v>2020/02/04</v>
      </c>
      <c r="M756" t="str">
        <f t="shared" si="58"/>
        <v>2020/02/08</v>
      </c>
      <c r="N756" t="s">
        <v>28</v>
      </c>
    </row>
    <row r="757" spans="3:14" x14ac:dyDescent="0.2">
      <c r="C757" t="s">
        <v>6</v>
      </c>
      <c r="D757">
        <v>193664</v>
      </c>
      <c r="E757">
        <v>365</v>
      </c>
      <c r="F757">
        <f>M757-L757</f>
        <v>28</v>
      </c>
      <c r="I757" t="s">
        <v>264</v>
      </c>
      <c r="J757" t="s">
        <v>82</v>
      </c>
      <c r="L757" t="str">
        <f t="shared" si="57"/>
        <v>2020/01/04</v>
      </c>
      <c r="M757" t="str">
        <f t="shared" si="58"/>
        <v>2020/02/01</v>
      </c>
      <c r="N757" t="s">
        <v>9</v>
      </c>
    </row>
    <row r="758" spans="3:14" hidden="1" x14ac:dyDescent="0.2">
      <c r="C758" t="s">
        <v>127</v>
      </c>
      <c r="D758">
        <v>3966272</v>
      </c>
      <c r="E758">
        <v>9415</v>
      </c>
      <c r="F758">
        <f>M758-L758</f>
        <v>14</v>
      </c>
      <c r="I758" t="s">
        <v>226</v>
      </c>
      <c r="J758" t="s">
        <v>227</v>
      </c>
      <c r="L758" t="str">
        <f t="shared" si="57"/>
        <v>2020/01/12</v>
      </c>
      <c r="M758" t="str">
        <f t="shared" si="58"/>
        <v>2020/01/26</v>
      </c>
      <c r="N758" t="s">
        <v>130</v>
      </c>
    </row>
    <row r="759" spans="3:14" hidden="1" x14ac:dyDescent="0.2">
      <c r="C759" t="s">
        <v>10</v>
      </c>
      <c r="D759">
        <v>1937</v>
      </c>
      <c r="E759">
        <v>1</v>
      </c>
      <c r="I759" t="s">
        <v>27</v>
      </c>
      <c r="L759" t="str">
        <f t="shared" si="57"/>
        <v>2020/01/17</v>
      </c>
      <c r="M759" t="e">
        <f t="shared" si="58"/>
        <v>#VALUE!</v>
      </c>
      <c r="N759" t="s">
        <v>28</v>
      </c>
    </row>
    <row r="760" spans="3:14" x14ac:dyDescent="0.2">
      <c r="C760" t="s">
        <v>6</v>
      </c>
      <c r="D760">
        <v>1828172</v>
      </c>
      <c r="E760">
        <v>17624</v>
      </c>
      <c r="F760">
        <f>M760-L760</f>
        <v>8</v>
      </c>
      <c r="I760" t="s">
        <v>62</v>
      </c>
      <c r="J760" t="s">
        <v>63</v>
      </c>
      <c r="L760" t="str">
        <f t="shared" si="57"/>
        <v>2020/02/08</v>
      </c>
      <c r="M760" t="str">
        <f t="shared" si="58"/>
        <v>2020/02/16</v>
      </c>
      <c r="N760" t="s">
        <v>9</v>
      </c>
    </row>
    <row r="761" spans="3:14" hidden="1" x14ac:dyDescent="0.2">
      <c r="C761" t="s">
        <v>10</v>
      </c>
      <c r="D761">
        <v>951578</v>
      </c>
      <c r="E761">
        <v>464</v>
      </c>
      <c r="F761">
        <f>M761-L761</f>
        <v>52</v>
      </c>
      <c r="I761" t="s">
        <v>76</v>
      </c>
      <c r="J761" t="s">
        <v>77</v>
      </c>
      <c r="L761" t="str">
        <f t="shared" si="57"/>
        <v>2020/01/09</v>
      </c>
      <c r="M761" t="str">
        <f t="shared" si="58"/>
        <v>2020/03/01</v>
      </c>
      <c r="N761" t="s">
        <v>78</v>
      </c>
    </row>
    <row r="762" spans="3:14" hidden="1" x14ac:dyDescent="0.2">
      <c r="C762" t="s">
        <v>6</v>
      </c>
      <c r="D762">
        <v>5141</v>
      </c>
      <c r="E762">
        <v>8</v>
      </c>
      <c r="I762" t="s">
        <v>375</v>
      </c>
      <c r="L762" t="str">
        <f t="shared" si="57"/>
        <v>2020/02/08</v>
      </c>
      <c r="M762" t="e">
        <f t="shared" si="58"/>
        <v>#VALUE!</v>
      </c>
      <c r="N762" t="s">
        <v>9</v>
      </c>
    </row>
    <row r="763" spans="3:14" hidden="1" x14ac:dyDescent="0.2">
      <c r="C763" t="s">
        <v>127</v>
      </c>
      <c r="D763">
        <v>15197</v>
      </c>
      <c r="E763">
        <v>44</v>
      </c>
      <c r="F763">
        <f>M763-L763</f>
        <v>12</v>
      </c>
      <c r="I763" t="s">
        <v>166</v>
      </c>
      <c r="J763" t="s">
        <v>167</v>
      </c>
      <c r="L763" t="str">
        <f t="shared" si="57"/>
        <v>2020/02/16</v>
      </c>
      <c r="M763" t="str">
        <f t="shared" si="58"/>
        <v>2020/02/28</v>
      </c>
      <c r="N763" t="s">
        <v>130</v>
      </c>
    </row>
    <row r="764" spans="3:14" hidden="1" x14ac:dyDescent="0.2">
      <c r="C764" t="s">
        <v>10</v>
      </c>
      <c r="D764">
        <v>1099</v>
      </c>
      <c r="E764">
        <v>0</v>
      </c>
      <c r="I764" t="s">
        <v>36</v>
      </c>
      <c r="L764" t="str">
        <f t="shared" si="57"/>
        <v>2020/01/17</v>
      </c>
      <c r="M764" t="e">
        <f t="shared" si="58"/>
        <v>#VALUE!</v>
      </c>
      <c r="N764" t="s">
        <v>28</v>
      </c>
    </row>
    <row r="765" spans="3:14" hidden="1" x14ac:dyDescent="0.2">
      <c r="C765" t="s">
        <v>56</v>
      </c>
      <c r="D765">
        <v>20600</v>
      </c>
      <c r="E765">
        <v>27</v>
      </c>
      <c r="F765">
        <f>M765-L765</f>
        <v>8</v>
      </c>
      <c r="I765" t="s">
        <v>97</v>
      </c>
      <c r="J765" t="s">
        <v>98</v>
      </c>
      <c r="L765" t="str">
        <f t="shared" si="57"/>
        <v>2020/01/20</v>
      </c>
      <c r="M765" t="str">
        <f t="shared" si="58"/>
        <v>2020/01/28</v>
      </c>
      <c r="N765" t="s">
        <v>59</v>
      </c>
    </row>
    <row r="766" spans="3:14" x14ac:dyDescent="0.2">
      <c r="C766" t="s">
        <v>6</v>
      </c>
      <c r="D766">
        <v>757469</v>
      </c>
      <c r="E766">
        <v>7223</v>
      </c>
      <c r="F766">
        <f>M766-L766</f>
        <v>6</v>
      </c>
      <c r="I766" t="s">
        <v>284</v>
      </c>
      <c r="J766" t="s">
        <v>150</v>
      </c>
      <c r="L766" t="str">
        <f t="shared" si="57"/>
        <v>2020/01/23</v>
      </c>
      <c r="M766" t="str">
        <f t="shared" si="58"/>
        <v>2020/01/29</v>
      </c>
      <c r="N766" t="s">
        <v>9</v>
      </c>
    </row>
    <row r="767" spans="3:14" x14ac:dyDescent="0.2">
      <c r="C767" t="s">
        <v>6</v>
      </c>
      <c r="D767">
        <v>11041</v>
      </c>
      <c r="E767">
        <v>23</v>
      </c>
      <c r="F767">
        <f>M767-L767</f>
        <v>16</v>
      </c>
      <c r="I767" t="s">
        <v>101</v>
      </c>
      <c r="J767" t="s">
        <v>102</v>
      </c>
      <c r="L767" t="str">
        <f t="shared" si="57"/>
        <v>2020/02/12</v>
      </c>
      <c r="M767" t="str">
        <f t="shared" si="58"/>
        <v>2020/02/28</v>
      </c>
      <c r="N767" t="s">
        <v>9</v>
      </c>
    </row>
    <row r="768" spans="3:14" hidden="1" x14ac:dyDescent="0.2">
      <c r="C768" t="s">
        <v>6</v>
      </c>
      <c r="D768">
        <v>256986</v>
      </c>
      <c r="E768">
        <v>235</v>
      </c>
      <c r="I768" t="s">
        <v>399</v>
      </c>
      <c r="L768" t="str">
        <f t="shared" si="57"/>
        <v>2020/01/14</v>
      </c>
      <c r="M768" t="e">
        <f t="shared" si="58"/>
        <v>#VALUE!</v>
      </c>
      <c r="N768" t="s">
        <v>9</v>
      </c>
    </row>
    <row r="769" spans="1:14" x14ac:dyDescent="0.2">
      <c r="C769" t="s">
        <v>6</v>
      </c>
      <c r="D769">
        <v>93418</v>
      </c>
      <c r="E769">
        <v>215</v>
      </c>
      <c r="F769">
        <f>M769-L769</f>
        <v>17</v>
      </c>
      <c r="I769" t="s">
        <v>189</v>
      </c>
      <c r="J769" t="s">
        <v>190</v>
      </c>
      <c r="L769" t="str">
        <f t="shared" si="57"/>
        <v>2020/01/22</v>
      </c>
      <c r="M769" t="str">
        <f t="shared" si="58"/>
        <v>2020/02/08</v>
      </c>
      <c r="N769" t="s">
        <v>9</v>
      </c>
    </row>
    <row r="770" spans="1:14" hidden="1" x14ac:dyDescent="0.2">
      <c r="C770" t="s">
        <v>10</v>
      </c>
      <c r="D770">
        <v>3250</v>
      </c>
      <c r="E770">
        <v>1</v>
      </c>
      <c r="I770" t="s">
        <v>36</v>
      </c>
      <c r="L770" t="str">
        <f t="shared" si="57"/>
        <v>2020/01/17</v>
      </c>
      <c r="M770" t="e">
        <f t="shared" si="58"/>
        <v>#VALUE!</v>
      </c>
      <c r="N770" t="s">
        <v>28</v>
      </c>
    </row>
    <row r="771" spans="1:14" x14ac:dyDescent="0.2">
      <c r="C771" t="s">
        <v>6</v>
      </c>
      <c r="D771">
        <v>131624</v>
      </c>
      <c r="E771">
        <v>187</v>
      </c>
      <c r="F771">
        <f>M771-L771</f>
        <v>35</v>
      </c>
      <c r="I771" t="s">
        <v>64</v>
      </c>
      <c r="J771" t="s">
        <v>65</v>
      </c>
      <c r="L771" t="str">
        <f t="shared" ref="L771:L834" si="60">LEFT(I771,FIND(" ",I771)-1)</f>
        <v>2020/01/23</v>
      </c>
      <c r="M771" t="str">
        <f t="shared" ref="M771:M834" si="61">LEFT(J771,FIND(" ",J771)-1)</f>
        <v>2020/02/27</v>
      </c>
      <c r="N771" t="s">
        <v>9</v>
      </c>
    </row>
    <row r="772" spans="1:14" hidden="1" x14ac:dyDescent="0.2">
      <c r="C772" t="s">
        <v>6</v>
      </c>
      <c r="D772">
        <v>2992391</v>
      </c>
      <c r="E772">
        <v>2349</v>
      </c>
      <c r="I772" t="s">
        <v>400</v>
      </c>
      <c r="L772" t="str">
        <f t="shared" si="60"/>
        <v>2020/02/19</v>
      </c>
      <c r="M772" t="e">
        <f t="shared" si="61"/>
        <v>#VALUE!</v>
      </c>
      <c r="N772" t="s">
        <v>9</v>
      </c>
    </row>
    <row r="773" spans="1:14" x14ac:dyDescent="0.2">
      <c r="C773" t="s">
        <v>6</v>
      </c>
      <c r="D773">
        <v>81457</v>
      </c>
      <c r="E773">
        <v>146</v>
      </c>
      <c r="F773">
        <f>M773-L773</f>
        <v>12</v>
      </c>
      <c r="I773" t="s">
        <v>19</v>
      </c>
      <c r="J773" t="s">
        <v>20</v>
      </c>
      <c r="L773" t="str">
        <f t="shared" si="60"/>
        <v>2020/01/23</v>
      </c>
      <c r="M773" t="str">
        <f t="shared" si="61"/>
        <v>2020/02/04</v>
      </c>
      <c r="N773" t="s">
        <v>9</v>
      </c>
    </row>
    <row r="774" spans="1:14" hidden="1" x14ac:dyDescent="0.2">
      <c r="C774" t="s">
        <v>10</v>
      </c>
      <c r="D774">
        <v>1415</v>
      </c>
      <c r="E774">
        <v>0</v>
      </c>
      <c r="I774" t="s">
        <v>36</v>
      </c>
      <c r="L774" t="str">
        <f t="shared" si="60"/>
        <v>2020/01/17</v>
      </c>
      <c r="M774" t="e">
        <f t="shared" si="61"/>
        <v>#VALUE!</v>
      </c>
      <c r="N774" t="s">
        <v>28</v>
      </c>
    </row>
    <row r="775" spans="1:14" hidden="1" x14ac:dyDescent="0.2">
      <c r="C775" t="s">
        <v>56</v>
      </c>
      <c r="D775">
        <v>34883</v>
      </c>
      <c r="E775">
        <v>32</v>
      </c>
      <c r="F775">
        <f>M775-L775</f>
        <v>41</v>
      </c>
      <c r="I775" t="s">
        <v>57</v>
      </c>
      <c r="J775" t="s">
        <v>58</v>
      </c>
      <c r="L775" t="str">
        <f t="shared" si="60"/>
        <v>2020/01/21</v>
      </c>
      <c r="M775" t="str">
        <f t="shared" si="61"/>
        <v>2020/03/02</v>
      </c>
      <c r="N775" t="s">
        <v>59</v>
      </c>
    </row>
    <row r="776" spans="1:14" x14ac:dyDescent="0.2">
      <c r="C776" t="s">
        <v>6</v>
      </c>
      <c r="D776">
        <v>59622</v>
      </c>
      <c r="E776">
        <v>126</v>
      </c>
      <c r="F776">
        <f>M776-L776</f>
        <v>226</v>
      </c>
      <c r="I776" t="s">
        <v>21</v>
      </c>
      <c r="J776" t="s">
        <v>22</v>
      </c>
      <c r="L776" t="str">
        <f t="shared" si="60"/>
        <v>2019/10/18</v>
      </c>
      <c r="M776" t="str">
        <f t="shared" si="61"/>
        <v>2020/05/31</v>
      </c>
      <c r="N776" t="s">
        <v>9</v>
      </c>
    </row>
    <row r="777" spans="1:14" hidden="1" x14ac:dyDescent="0.2">
      <c r="C777" t="s">
        <v>6</v>
      </c>
      <c r="D777">
        <v>1428</v>
      </c>
      <c r="E777">
        <v>1</v>
      </c>
      <c r="I777" t="s">
        <v>44</v>
      </c>
      <c r="L777" t="str">
        <f t="shared" si="60"/>
        <v>2020/02/20</v>
      </c>
      <c r="M777" t="e">
        <f t="shared" si="61"/>
        <v>#VALUE!</v>
      </c>
      <c r="N777" t="s">
        <v>9</v>
      </c>
    </row>
    <row r="778" spans="1:14" x14ac:dyDescent="0.2">
      <c r="C778" t="s">
        <v>6</v>
      </c>
      <c r="D778">
        <v>1687301</v>
      </c>
      <c r="E778">
        <v>16248</v>
      </c>
      <c r="F778">
        <f>M778-L778</f>
        <v>8</v>
      </c>
      <c r="I778" t="s">
        <v>62</v>
      </c>
      <c r="J778" t="s">
        <v>63</v>
      </c>
      <c r="L778" t="str">
        <f t="shared" si="60"/>
        <v>2020/02/08</v>
      </c>
      <c r="M778" t="str">
        <f t="shared" si="61"/>
        <v>2020/02/16</v>
      </c>
      <c r="N778" t="s">
        <v>9</v>
      </c>
    </row>
    <row r="779" spans="1:14" hidden="1" x14ac:dyDescent="0.2">
      <c r="A779" s="1"/>
      <c r="C779" t="s">
        <v>10</v>
      </c>
      <c r="D779">
        <v>45941</v>
      </c>
      <c r="E779">
        <v>24</v>
      </c>
      <c r="F779">
        <f>M779-L779</f>
        <v>1</v>
      </c>
      <c r="I779" t="s">
        <v>401</v>
      </c>
      <c r="J779" t="s">
        <v>89</v>
      </c>
      <c r="L779" t="str">
        <f t="shared" si="60"/>
        <v>2020/01/27</v>
      </c>
      <c r="M779" t="str">
        <f t="shared" si="61"/>
        <v>2020/01/28</v>
      </c>
      <c r="N779" t="s">
        <v>28</v>
      </c>
    </row>
    <row r="780" spans="1:14" hidden="1" x14ac:dyDescent="0.2">
      <c r="C780" t="s">
        <v>6</v>
      </c>
      <c r="D780">
        <v>446249</v>
      </c>
      <c r="E780">
        <v>646</v>
      </c>
      <c r="I780" t="s">
        <v>402</v>
      </c>
      <c r="L780" t="str">
        <f t="shared" si="60"/>
        <v>2020/02/03</v>
      </c>
      <c r="M780" t="e">
        <f t="shared" si="61"/>
        <v>#VALUE!</v>
      </c>
      <c r="N780" t="s">
        <v>9</v>
      </c>
    </row>
    <row r="781" spans="1:14" x14ac:dyDescent="0.2">
      <c r="C781" t="s">
        <v>6</v>
      </c>
      <c r="D781">
        <v>259406</v>
      </c>
      <c r="E781">
        <v>300</v>
      </c>
      <c r="F781">
        <f>M781-L781</f>
        <v>3</v>
      </c>
      <c r="I781" t="s">
        <v>403</v>
      </c>
      <c r="J781" t="s">
        <v>404</v>
      </c>
      <c r="L781" t="str">
        <f t="shared" si="60"/>
        <v>2020/02/21</v>
      </c>
      <c r="M781" t="str">
        <f t="shared" si="61"/>
        <v>2020/02/24</v>
      </c>
      <c r="N781" t="s">
        <v>9</v>
      </c>
    </row>
    <row r="782" spans="1:14" hidden="1" x14ac:dyDescent="0.2">
      <c r="C782" t="s">
        <v>10</v>
      </c>
      <c r="D782">
        <v>805</v>
      </c>
      <c r="E782">
        <v>0</v>
      </c>
      <c r="I782" t="s">
        <v>36</v>
      </c>
      <c r="L782" t="str">
        <f t="shared" si="60"/>
        <v>2020/01/17</v>
      </c>
      <c r="M782" t="e">
        <f t="shared" si="61"/>
        <v>#VALUE!</v>
      </c>
      <c r="N782" t="s">
        <v>28</v>
      </c>
    </row>
    <row r="783" spans="1:14" x14ac:dyDescent="0.2">
      <c r="C783" t="s">
        <v>6</v>
      </c>
      <c r="D783">
        <v>247</v>
      </c>
      <c r="E783">
        <v>0</v>
      </c>
      <c r="F783">
        <f>M783-L783</f>
        <v>10</v>
      </c>
      <c r="I783" t="s">
        <v>7</v>
      </c>
      <c r="J783" t="s">
        <v>8</v>
      </c>
      <c r="L783" t="str">
        <f t="shared" si="60"/>
        <v>2020/02/23</v>
      </c>
      <c r="M783" t="str">
        <f t="shared" si="61"/>
        <v>2020/03/04</v>
      </c>
      <c r="N783" t="s">
        <v>9</v>
      </c>
    </row>
    <row r="784" spans="1:14" x14ac:dyDescent="0.2">
      <c r="C784" t="s">
        <v>6</v>
      </c>
      <c r="D784">
        <v>144065</v>
      </c>
      <c r="E784">
        <v>288</v>
      </c>
      <c r="F784">
        <f>M784-L784</f>
        <v>26</v>
      </c>
      <c r="I784" t="s">
        <v>60</v>
      </c>
      <c r="J784" t="s">
        <v>61</v>
      </c>
      <c r="L784" t="str">
        <f t="shared" si="60"/>
        <v>2020/02/04</v>
      </c>
      <c r="M784" t="str">
        <f t="shared" si="61"/>
        <v>2020/03/01</v>
      </c>
      <c r="N784" t="s">
        <v>9</v>
      </c>
    </row>
    <row r="785" spans="3:14" x14ac:dyDescent="0.2">
      <c r="C785" t="s">
        <v>6</v>
      </c>
      <c r="D785">
        <v>86275</v>
      </c>
      <c r="E785">
        <v>158</v>
      </c>
      <c r="F785">
        <f>M785-L785</f>
        <v>40</v>
      </c>
      <c r="I785" t="s">
        <v>72</v>
      </c>
      <c r="J785" t="s">
        <v>73</v>
      </c>
      <c r="L785" t="str">
        <f t="shared" si="60"/>
        <v>2020/01/03</v>
      </c>
      <c r="M785" t="str">
        <f t="shared" si="61"/>
        <v>2020/02/12</v>
      </c>
      <c r="N785" t="s">
        <v>9</v>
      </c>
    </row>
    <row r="786" spans="3:14" hidden="1" x14ac:dyDescent="0.2">
      <c r="C786" t="s">
        <v>10</v>
      </c>
      <c r="D786">
        <v>1115</v>
      </c>
      <c r="E786">
        <v>0</v>
      </c>
      <c r="I786" t="s">
        <v>36</v>
      </c>
      <c r="L786" t="str">
        <f t="shared" si="60"/>
        <v>2020/01/17</v>
      </c>
      <c r="M786" t="e">
        <f t="shared" si="61"/>
        <v>#VALUE!</v>
      </c>
      <c r="N786" t="s">
        <v>28</v>
      </c>
    </row>
    <row r="787" spans="3:14" x14ac:dyDescent="0.2">
      <c r="C787" t="s">
        <v>6</v>
      </c>
      <c r="D787">
        <v>97524</v>
      </c>
      <c r="E787">
        <v>931</v>
      </c>
      <c r="F787">
        <f>M787-L787</f>
        <v>12</v>
      </c>
      <c r="I787" t="s">
        <v>55</v>
      </c>
      <c r="J787" t="s">
        <v>46</v>
      </c>
      <c r="L787" t="str">
        <f t="shared" si="60"/>
        <v>2020/01/20</v>
      </c>
      <c r="M787" t="str">
        <f t="shared" si="61"/>
        <v>2020/02/01</v>
      </c>
      <c r="N787" t="s">
        <v>9</v>
      </c>
    </row>
    <row r="788" spans="3:14" x14ac:dyDescent="0.2">
      <c r="C788" t="s">
        <v>6</v>
      </c>
      <c r="D788">
        <v>64825</v>
      </c>
      <c r="E788">
        <v>124</v>
      </c>
      <c r="F788">
        <f>M788-L788</f>
        <v>12</v>
      </c>
      <c r="I788" t="s">
        <v>19</v>
      </c>
      <c r="J788" t="s">
        <v>20</v>
      </c>
      <c r="L788" t="str">
        <f t="shared" si="60"/>
        <v>2020/01/23</v>
      </c>
      <c r="M788" t="str">
        <f t="shared" si="61"/>
        <v>2020/02/04</v>
      </c>
      <c r="N788" t="s">
        <v>9</v>
      </c>
    </row>
    <row r="789" spans="3:14" x14ac:dyDescent="0.2">
      <c r="C789" t="s">
        <v>6</v>
      </c>
      <c r="D789">
        <v>17413</v>
      </c>
      <c r="E789">
        <v>75</v>
      </c>
      <c r="F789">
        <f>M789-L789</f>
        <v>7</v>
      </c>
      <c r="I789" t="s">
        <v>405</v>
      </c>
      <c r="J789" t="s">
        <v>319</v>
      </c>
      <c r="L789" t="str">
        <f t="shared" si="60"/>
        <v>2020/02/04</v>
      </c>
      <c r="M789" t="str">
        <f t="shared" si="61"/>
        <v>2020/02/11</v>
      </c>
      <c r="N789" t="s">
        <v>9</v>
      </c>
    </row>
    <row r="790" spans="3:14" hidden="1" x14ac:dyDescent="0.2">
      <c r="C790" t="s">
        <v>10</v>
      </c>
      <c r="D790">
        <v>914</v>
      </c>
      <c r="E790">
        <v>0</v>
      </c>
      <c r="I790" t="s">
        <v>27</v>
      </c>
      <c r="L790" t="str">
        <f t="shared" si="60"/>
        <v>2020/01/17</v>
      </c>
      <c r="M790" t="e">
        <f t="shared" si="61"/>
        <v>#VALUE!</v>
      </c>
      <c r="N790" t="s">
        <v>28</v>
      </c>
    </row>
    <row r="791" spans="3:14" x14ac:dyDescent="0.2">
      <c r="C791" t="s">
        <v>6</v>
      </c>
      <c r="D791">
        <v>1597</v>
      </c>
      <c r="E791">
        <v>6</v>
      </c>
      <c r="F791">
        <f>M791-L791</f>
        <v>10</v>
      </c>
      <c r="I791" t="s">
        <v>7</v>
      </c>
      <c r="J791" t="s">
        <v>8</v>
      </c>
      <c r="L791" t="str">
        <f t="shared" si="60"/>
        <v>2020/02/23</v>
      </c>
      <c r="M791" t="str">
        <f t="shared" si="61"/>
        <v>2020/03/04</v>
      </c>
      <c r="N791" t="s">
        <v>9</v>
      </c>
    </row>
    <row r="792" spans="3:14" x14ac:dyDescent="0.2">
      <c r="C792" t="s">
        <v>6</v>
      </c>
      <c r="D792">
        <v>282995</v>
      </c>
      <c r="E792">
        <v>1000</v>
      </c>
      <c r="F792">
        <f>M792-L792</f>
        <v>13</v>
      </c>
      <c r="I792" t="s">
        <v>259</v>
      </c>
      <c r="J792" t="s">
        <v>260</v>
      </c>
      <c r="L792" t="str">
        <f t="shared" si="60"/>
        <v>2020/01/06</v>
      </c>
      <c r="M792" t="str">
        <f t="shared" si="61"/>
        <v>2020/01/19</v>
      </c>
      <c r="N792" t="s">
        <v>9</v>
      </c>
    </row>
    <row r="793" spans="3:14" hidden="1" x14ac:dyDescent="0.2">
      <c r="C793" t="s">
        <v>39</v>
      </c>
      <c r="D793">
        <v>767143</v>
      </c>
      <c r="E793">
        <v>930</v>
      </c>
      <c r="F793">
        <f>M793-L793</f>
        <v>28</v>
      </c>
      <c r="I793" t="s">
        <v>244</v>
      </c>
      <c r="J793" t="s">
        <v>245</v>
      </c>
      <c r="L793" t="str">
        <f t="shared" si="60"/>
        <v>2020/02/18</v>
      </c>
      <c r="M793" t="str">
        <f t="shared" si="61"/>
        <v>2020/03/17</v>
      </c>
      <c r="N793" t="s">
        <v>41</v>
      </c>
    </row>
    <row r="794" spans="3:14" hidden="1" x14ac:dyDescent="0.2">
      <c r="C794" t="s">
        <v>39</v>
      </c>
      <c r="D794">
        <v>829910</v>
      </c>
      <c r="E794">
        <v>1006</v>
      </c>
      <c r="F794">
        <f>M794-L794</f>
        <v>28</v>
      </c>
      <c r="I794" t="s">
        <v>244</v>
      </c>
      <c r="J794" t="s">
        <v>245</v>
      </c>
      <c r="L794" t="str">
        <f t="shared" si="60"/>
        <v>2020/02/18</v>
      </c>
      <c r="M794" t="str">
        <f t="shared" si="61"/>
        <v>2020/03/17</v>
      </c>
      <c r="N794" t="s">
        <v>41</v>
      </c>
    </row>
    <row r="795" spans="3:14" hidden="1" x14ac:dyDescent="0.2">
      <c r="C795" t="s">
        <v>6</v>
      </c>
      <c r="D795">
        <v>373577</v>
      </c>
      <c r="E795">
        <v>449</v>
      </c>
      <c r="I795" t="s">
        <v>406</v>
      </c>
      <c r="L795" t="str">
        <f t="shared" si="60"/>
        <v>2020/02/03</v>
      </c>
      <c r="M795" t="e">
        <f t="shared" si="61"/>
        <v>#VALUE!</v>
      </c>
      <c r="N795" t="s">
        <v>9</v>
      </c>
    </row>
    <row r="796" spans="3:14" x14ac:dyDescent="0.2">
      <c r="C796" t="s">
        <v>6</v>
      </c>
      <c r="D796">
        <v>5902786</v>
      </c>
      <c r="E796">
        <v>6000</v>
      </c>
      <c r="F796">
        <f>M796-L796</f>
        <v>6</v>
      </c>
      <c r="I796" t="s">
        <v>407</v>
      </c>
      <c r="J796" t="s">
        <v>408</v>
      </c>
      <c r="L796" t="str">
        <f t="shared" si="60"/>
        <v>2020/02/11</v>
      </c>
      <c r="M796" t="str">
        <f t="shared" si="61"/>
        <v>2020/02/17</v>
      </c>
      <c r="N796" t="s">
        <v>9</v>
      </c>
    </row>
    <row r="797" spans="3:14" x14ac:dyDescent="0.2">
      <c r="C797" t="s">
        <v>39</v>
      </c>
      <c r="D797">
        <v>608480</v>
      </c>
      <c r="E797">
        <v>1647</v>
      </c>
      <c r="F797">
        <f>M797-L797</f>
        <v>28</v>
      </c>
      <c r="I797" t="s">
        <v>116</v>
      </c>
      <c r="J797" t="s">
        <v>117</v>
      </c>
      <c r="L797" t="str">
        <f t="shared" si="60"/>
        <v>2020/01/13</v>
      </c>
      <c r="M797" t="str">
        <f t="shared" si="61"/>
        <v>2020/02/10</v>
      </c>
      <c r="N797" t="s">
        <v>9</v>
      </c>
    </row>
    <row r="798" spans="3:14" x14ac:dyDescent="0.2">
      <c r="C798" t="s">
        <v>6</v>
      </c>
      <c r="D798">
        <v>18117</v>
      </c>
      <c r="E798">
        <v>77</v>
      </c>
      <c r="F798">
        <f>M798-L798</f>
        <v>5</v>
      </c>
      <c r="I798" t="s">
        <v>162</v>
      </c>
      <c r="J798" t="s">
        <v>409</v>
      </c>
      <c r="L798" t="str">
        <f t="shared" si="60"/>
        <v>2020/01/10</v>
      </c>
      <c r="M798" t="str">
        <f t="shared" si="61"/>
        <v>2020/01/15</v>
      </c>
      <c r="N798" t="s">
        <v>9</v>
      </c>
    </row>
    <row r="799" spans="3:14" x14ac:dyDescent="0.2">
      <c r="C799" t="s">
        <v>6</v>
      </c>
      <c r="D799">
        <v>149367</v>
      </c>
      <c r="E799">
        <v>363</v>
      </c>
      <c r="F799">
        <f>M799-L799</f>
        <v>29</v>
      </c>
      <c r="I799" t="s">
        <v>170</v>
      </c>
      <c r="J799" t="s">
        <v>171</v>
      </c>
      <c r="L799" t="str">
        <f t="shared" si="60"/>
        <v>2020/02/01</v>
      </c>
      <c r="M799" t="str">
        <f t="shared" si="61"/>
        <v>2020/03/01</v>
      </c>
      <c r="N799" t="s">
        <v>9</v>
      </c>
    </row>
    <row r="800" spans="3:14" hidden="1" x14ac:dyDescent="0.2">
      <c r="C800" t="s">
        <v>10</v>
      </c>
      <c r="D800">
        <v>38379</v>
      </c>
      <c r="E800">
        <v>27</v>
      </c>
      <c r="F800">
        <f>M800-L800</f>
        <v>1</v>
      </c>
      <c r="I800" t="s">
        <v>228</v>
      </c>
      <c r="J800" t="s">
        <v>229</v>
      </c>
      <c r="L800" t="str">
        <f t="shared" si="60"/>
        <v>2020/01/30</v>
      </c>
      <c r="M800" t="str">
        <f t="shared" si="61"/>
        <v>2020/01/31</v>
      </c>
      <c r="N800" t="s">
        <v>28</v>
      </c>
    </row>
    <row r="801" spans="3:14" hidden="1" x14ac:dyDescent="0.2">
      <c r="C801" t="s">
        <v>6</v>
      </c>
      <c r="D801">
        <v>275452</v>
      </c>
      <c r="E801">
        <v>149</v>
      </c>
      <c r="I801" t="s">
        <v>410</v>
      </c>
      <c r="L801" t="str">
        <f t="shared" si="60"/>
        <v>2020/02/18</v>
      </c>
      <c r="M801" t="e">
        <f t="shared" si="61"/>
        <v>#VALUE!</v>
      </c>
      <c r="N801" t="s">
        <v>9</v>
      </c>
    </row>
    <row r="802" spans="3:14" x14ac:dyDescent="0.2">
      <c r="C802" t="s">
        <v>6</v>
      </c>
      <c r="D802">
        <v>146917</v>
      </c>
      <c r="E802">
        <v>203</v>
      </c>
      <c r="F802">
        <f>M802-L802</f>
        <v>-2</v>
      </c>
      <c r="I802" t="s">
        <v>79</v>
      </c>
      <c r="J802" t="s">
        <v>80</v>
      </c>
      <c r="L802" t="str">
        <f t="shared" si="60"/>
        <v>2020/01/03</v>
      </c>
      <c r="M802" t="str">
        <f t="shared" si="61"/>
        <v>2020/01/01</v>
      </c>
      <c r="N802" t="s">
        <v>9</v>
      </c>
    </row>
    <row r="803" spans="3:14" x14ac:dyDescent="0.2">
      <c r="C803" t="s">
        <v>6</v>
      </c>
      <c r="D803">
        <v>205064</v>
      </c>
      <c r="E803">
        <v>287</v>
      </c>
      <c r="F803">
        <f>M803-L803</f>
        <v>29</v>
      </c>
      <c r="I803" t="s">
        <v>170</v>
      </c>
      <c r="J803" t="s">
        <v>171</v>
      </c>
      <c r="L803" t="str">
        <f t="shared" si="60"/>
        <v>2020/02/01</v>
      </c>
      <c r="M803" t="str">
        <f t="shared" si="61"/>
        <v>2020/03/01</v>
      </c>
      <c r="N803" t="s">
        <v>9</v>
      </c>
    </row>
    <row r="804" spans="3:14" hidden="1" x14ac:dyDescent="0.2">
      <c r="C804" t="s">
        <v>56</v>
      </c>
      <c r="D804">
        <v>34730</v>
      </c>
      <c r="E804">
        <v>99</v>
      </c>
      <c r="F804">
        <f>M804-L804</f>
        <v>8</v>
      </c>
      <c r="I804" t="s">
        <v>88</v>
      </c>
      <c r="J804" t="s">
        <v>89</v>
      </c>
      <c r="L804" t="str">
        <f t="shared" si="60"/>
        <v>2020/01/20</v>
      </c>
      <c r="M804" t="str">
        <f t="shared" si="61"/>
        <v>2020/01/28</v>
      </c>
      <c r="N804" t="s">
        <v>59</v>
      </c>
    </row>
    <row r="805" spans="3:14" x14ac:dyDescent="0.2">
      <c r="C805" t="s">
        <v>6</v>
      </c>
      <c r="D805">
        <v>6093</v>
      </c>
      <c r="E805">
        <v>23</v>
      </c>
      <c r="F805">
        <f>M805-L805</f>
        <v>-1</v>
      </c>
      <c r="I805" t="s">
        <v>411</v>
      </c>
      <c r="J805" t="s">
        <v>308</v>
      </c>
      <c r="L805" t="str">
        <f t="shared" si="60"/>
        <v>2020/02/02</v>
      </c>
      <c r="M805" t="str">
        <f t="shared" si="61"/>
        <v>2020/02/01</v>
      </c>
      <c r="N805" t="s">
        <v>9</v>
      </c>
    </row>
    <row r="806" spans="3:14" x14ac:dyDescent="0.2">
      <c r="C806" t="s">
        <v>6</v>
      </c>
      <c r="D806">
        <v>191347</v>
      </c>
      <c r="E806">
        <v>326</v>
      </c>
      <c r="F806">
        <f>M806-L806</f>
        <v>31</v>
      </c>
      <c r="I806" t="s">
        <v>45</v>
      </c>
      <c r="J806" t="s">
        <v>46</v>
      </c>
      <c r="L806" t="str">
        <f t="shared" si="60"/>
        <v>2020/01/01</v>
      </c>
      <c r="M806" t="str">
        <f t="shared" si="61"/>
        <v>2020/02/01</v>
      </c>
      <c r="N806" t="s">
        <v>9</v>
      </c>
    </row>
    <row r="807" spans="3:14" hidden="1" x14ac:dyDescent="0.2">
      <c r="C807" t="s">
        <v>39</v>
      </c>
      <c r="D807">
        <v>20631</v>
      </c>
      <c r="E807">
        <v>53</v>
      </c>
      <c r="I807" t="s">
        <v>40</v>
      </c>
      <c r="L807" t="str">
        <f t="shared" si="60"/>
        <v>2020/02/01</v>
      </c>
      <c r="M807" t="e">
        <f t="shared" si="61"/>
        <v>#VALUE!</v>
      </c>
      <c r="N807" t="s">
        <v>41</v>
      </c>
    </row>
    <row r="808" spans="3:14" hidden="1" x14ac:dyDescent="0.2">
      <c r="C808" t="s">
        <v>56</v>
      </c>
      <c r="D808">
        <v>26107</v>
      </c>
      <c r="E808">
        <v>37</v>
      </c>
      <c r="F808">
        <f t="shared" ref="F808:F819" si="62">M808-L808</f>
        <v>42</v>
      </c>
      <c r="I808" t="s">
        <v>412</v>
      </c>
      <c r="J808" t="s">
        <v>58</v>
      </c>
      <c r="L808" t="str">
        <f t="shared" si="60"/>
        <v>2020/01/20</v>
      </c>
      <c r="M808" t="str">
        <f t="shared" si="61"/>
        <v>2020/03/02</v>
      </c>
      <c r="N808" t="s">
        <v>59</v>
      </c>
    </row>
    <row r="809" spans="3:14" hidden="1" x14ac:dyDescent="0.2">
      <c r="C809" t="s">
        <v>56</v>
      </c>
      <c r="D809">
        <v>20882</v>
      </c>
      <c r="E809">
        <v>21</v>
      </c>
      <c r="F809">
        <f t="shared" si="62"/>
        <v>41</v>
      </c>
      <c r="I809" t="s">
        <v>57</v>
      </c>
      <c r="J809" t="s">
        <v>58</v>
      </c>
      <c r="L809" t="str">
        <f t="shared" si="60"/>
        <v>2020/01/21</v>
      </c>
      <c r="M809" t="str">
        <f t="shared" si="61"/>
        <v>2020/03/02</v>
      </c>
      <c r="N809" t="s">
        <v>59</v>
      </c>
    </row>
    <row r="810" spans="3:14" x14ac:dyDescent="0.2">
      <c r="C810" t="s">
        <v>6</v>
      </c>
      <c r="D810">
        <v>58515</v>
      </c>
      <c r="E810">
        <v>489</v>
      </c>
      <c r="F810">
        <f t="shared" si="62"/>
        <v>27</v>
      </c>
      <c r="I810" t="s">
        <v>31</v>
      </c>
      <c r="J810" t="s">
        <v>24</v>
      </c>
      <c r="L810" t="str">
        <f t="shared" si="60"/>
        <v>2020/02/06</v>
      </c>
      <c r="M810" t="str">
        <f t="shared" si="61"/>
        <v>2020/03/04</v>
      </c>
      <c r="N810" t="s">
        <v>9</v>
      </c>
    </row>
    <row r="811" spans="3:14" x14ac:dyDescent="0.2">
      <c r="C811" t="s">
        <v>6</v>
      </c>
      <c r="D811">
        <v>5866385</v>
      </c>
      <c r="E811">
        <v>10602</v>
      </c>
      <c r="F811">
        <f t="shared" si="62"/>
        <v>26</v>
      </c>
      <c r="I811" t="s">
        <v>81</v>
      </c>
      <c r="J811" t="s">
        <v>82</v>
      </c>
      <c r="L811" t="str">
        <f t="shared" si="60"/>
        <v>2020/01/06</v>
      </c>
      <c r="M811" t="str">
        <f t="shared" si="61"/>
        <v>2020/02/01</v>
      </c>
      <c r="N811" t="s">
        <v>9</v>
      </c>
    </row>
    <row r="812" spans="3:14" x14ac:dyDescent="0.2">
      <c r="C812" t="s">
        <v>6</v>
      </c>
      <c r="D812">
        <v>280257</v>
      </c>
      <c r="E812">
        <v>503</v>
      </c>
      <c r="F812">
        <f t="shared" si="62"/>
        <v>32</v>
      </c>
      <c r="I812" t="s">
        <v>72</v>
      </c>
      <c r="J812" t="s">
        <v>104</v>
      </c>
      <c r="L812" t="str">
        <f t="shared" si="60"/>
        <v>2020/01/03</v>
      </c>
      <c r="M812" t="str">
        <f t="shared" si="61"/>
        <v>2020/02/04</v>
      </c>
      <c r="N812" t="s">
        <v>9</v>
      </c>
    </row>
    <row r="813" spans="3:14" x14ac:dyDescent="0.2">
      <c r="C813" t="s">
        <v>6</v>
      </c>
      <c r="D813">
        <v>5331834</v>
      </c>
      <c r="E813">
        <v>8270</v>
      </c>
      <c r="F813">
        <f t="shared" si="62"/>
        <v>63</v>
      </c>
      <c r="I813" t="s">
        <v>18</v>
      </c>
      <c r="J813" t="s">
        <v>15</v>
      </c>
      <c r="L813" t="str">
        <f t="shared" si="60"/>
        <v>2020/01/29</v>
      </c>
      <c r="M813" t="str">
        <f t="shared" si="61"/>
        <v>2020/04/01</v>
      </c>
      <c r="N813" t="s">
        <v>9</v>
      </c>
    </row>
    <row r="814" spans="3:14" x14ac:dyDescent="0.2">
      <c r="C814" t="s">
        <v>6</v>
      </c>
      <c r="D814">
        <v>148175</v>
      </c>
      <c r="E814">
        <v>219</v>
      </c>
      <c r="F814">
        <f t="shared" si="62"/>
        <v>14</v>
      </c>
      <c r="I814" t="s">
        <v>172</v>
      </c>
      <c r="J814" t="s">
        <v>173</v>
      </c>
      <c r="L814" t="str">
        <f t="shared" si="60"/>
        <v>2020/02/03</v>
      </c>
      <c r="M814" t="str">
        <f t="shared" si="61"/>
        <v>2020/02/17</v>
      </c>
      <c r="N814" t="s">
        <v>9</v>
      </c>
    </row>
    <row r="815" spans="3:14" x14ac:dyDescent="0.2">
      <c r="C815" t="s">
        <v>6</v>
      </c>
      <c r="D815">
        <v>1363768</v>
      </c>
      <c r="E815">
        <v>2428</v>
      </c>
      <c r="F815">
        <f t="shared" si="62"/>
        <v>29</v>
      </c>
      <c r="I815" t="s">
        <v>170</v>
      </c>
      <c r="J815" t="s">
        <v>171</v>
      </c>
      <c r="L815" t="str">
        <f t="shared" si="60"/>
        <v>2020/02/01</v>
      </c>
      <c r="M815" t="str">
        <f t="shared" si="61"/>
        <v>2020/03/01</v>
      </c>
      <c r="N815" t="s">
        <v>9</v>
      </c>
    </row>
    <row r="816" spans="3:14" hidden="1" x14ac:dyDescent="0.2">
      <c r="C816" t="s">
        <v>10</v>
      </c>
      <c r="D816">
        <v>29751</v>
      </c>
      <c r="E816">
        <v>15</v>
      </c>
      <c r="F816">
        <f t="shared" si="62"/>
        <v>1</v>
      </c>
      <c r="I816" t="s">
        <v>401</v>
      </c>
      <c r="J816" t="s">
        <v>89</v>
      </c>
      <c r="L816" t="str">
        <f t="shared" si="60"/>
        <v>2020/01/27</v>
      </c>
      <c r="M816" t="str">
        <f t="shared" si="61"/>
        <v>2020/01/28</v>
      </c>
      <c r="N816" t="s">
        <v>28</v>
      </c>
    </row>
    <row r="817" spans="3:14" x14ac:dyDescent="0.2">
      <c r="C817" t="s">
        <v>6</v>
      </c>
      <c r="D817">
        <v>68</v>
      </c>
      <c r="E817">
        <v>0</v>
      </c>
      <c r="F817">
        <f t="shared" si="62"/>
        <v>3</v>
      </c>
      <c r="I817" t="s">
        <v>413</v>
      </c>
      <c r="J817" t="s">
        <v>312</v>
      </c>
      <c r="L817" t="str">
        <f t="shared" si="60"/>
        <v>2020/02/07</v>
      </c>
      <c r="M817" t="str">
        <f t="shared" si="61"/>
        <v>2020/02/10</v>
      </c>
      <c r="N817" t="s">
        <v>9</v>
      </c>
    </row>
    <row r="818" spans="3:14" x14ac:dyDescent="0.2">
      <c r="C818" t="s">
        <v>6</v>
      </c>
      <c r="D818">
        <v>1089827</v>
      </c>
      <c r="E818">
        <v>2518</v>
      </c>
      <c r="F818">
        <f t="shared" si="62"/>
        <v>84</v>
      </c>
      <c r="I818" t="s">
        <v>14</v>
      </c>
      <c r="J818" t="s">
        <v>15</v>
      </c>
      <c r="L818" t="str">
        <f t="shared" si="60"/>
        <v>2020/01/08</v>
      </c>
      <c r="M818" t="str">
        <f t="shared" si="61"/>
        <v>2020/04/01</v>
      </c>
      <c r="N818" t="s">
        <v>9</v>
      </c>
    </row>
    <row r="819" spans="3:14" x14ac:dyDescent="0.2">
      <c r="C819" t="s">
        <v>6</v>
      </c>
      <c r="D819">
        <v>776720</v>
      </c>
      <c r="E819">
        <v>1590</v>
      </c>
      <c r="F819">
        <f t="shared" si="62"/>
        <v>32</v>
      </c>
      <c r="I819" t="s">
        <v>72</v>
      </c>
      <c r="J819" t="s">
        <v>104</v>
      </c>
      <c r="L819" t="str">
        <f t="shared" si="60"/>
        <v>2020/01/03</v>
      </c>
      <c r="M819" t="str">
        <f t="shared" si="61"/>
        <v>2020/02/04</v>
      </c>
      <c r="N819" t="s">
        <v>9</v>
      </c>
    </row>
    <row r="820" spans="3:14" hidden="1" x14ac:dyDescent="0.2">
      <c r="C820" t="s">
        <v>6</v>
      </c>
      <c r="D820">
        <v>324586</v>
      </c>
      <c r="E820">
        <v>448</v>
      </c>
      <c r="I820" t="s">
        <v>414</v>
      </c>
      <c r="L820" t="str">
        <f t="shared" si="60"/>
        <v>2020/02/20</v>
      </c>
      <c r="M820" t="e">
        <f t="shared" si="61"/>
        <v>#VALUE!</v>
      </c>
      <c r="N820" t="s">
        <v>9</v>
      </c>
    </row>
    <row r="821" spans="3:14" hidden="1" x14ac:dyDescent="0.2">
      <c r="C821" t="s">
        <v>10</v>
      </c>
      <c r="D821">
        <v>578359</v>
      </c>
      <c r="E821">
        <v>446</v>
      </c>
      <c r="F821">
        <f>M821-L821</f>
        <v>4</v>
      </c>
      <c r="I821" t="s">
        <v>415</v>
      </c>
      <c r="J821" t="s">
        <v>416</v>
      </c>
      <c r="L821" t="str">
        <f t="shared" si="60"/>
        <v>2020/02/04</v>
      </c>
      <c r="M821" t="str">
        <f t="shared" si="61"/>
        <v>2020/02/08</v>
      </c>
      <c r="N821" t="s">
        <v>28</v>
      </c>
    </row>
    <row r="822" spans="3:14" hidden="1" x14ac:dyDescent="0.2">
      <c r="C822" t="s">
        <v>10</v>
      </c>
      <c r="D822">
        <v>267089</v>
      </c>
      <c r="E822">
        <v>688</v>
      </c>
      <c r="F822">
        <f>M822-L822</f>
        <v>4</v>
      </c>
      <c r="I822" t="s">
        <v>246</v>
      </c>
      <c r="J822" t="s">
        <v>247</v>
      </c>
      <c r="L822" t="str">
        <f t="shared" si="60"/>
        <v>2020/01/06</v>
      </c>
      <c r="M822" t="str">
        <f t="shared" si="61"/>
        <v>2020/01/10</v>
      </c>
      <c r="N822" t="s">
        <v>187</v>
      </c>
    </row>
    <row r="823" spans="3:14" hidden="1" x14ac:dyDescent="0.2">
      <c r="C823" t="s">
        <v>10</v>
      </c>
      <c r="D823">
        <v>57157</v>
      </c>
      <c r="E823">
        <v>118</v>
      </c>
      <c r="F823">
        <f>M823-L823</f>
        <v>4</v>
      </c>
      <c r="I823" t="s">
        <v>287</v>
      </c>
      <c r="J823" t="s">
        <v>288</v>
      </c>
      <c r="L823" t="str">
        <f t="shared" si="60"/>
        <v>2020/01/02</v>
      </c>
      <c r="M823" t="str">
        <f t="shared" si="61"/>
        <v>2020/01/06</v>
      </c>
      <c r="N823" t="s">
        <v>187</v>
      </c>
    </row>
    <row r="824" spans="3:14" x14ac:dyDescent="0.2">
      <c r="C824" t="s">
        <v>6</v>
      </c>
      <c r="D824">
        <v>652678</v>
      </c>
      <c r="E824">
        <v>6226</v>
      </c>
      <c r="F824">
        <f>M824-L824</f>
        <v>63</v>
      </c>
      <c r="I824" t="s">
        <v>18</v>
      </c>
      <c r="J824" t="s">
        <v>15</v>
      </c>
      <c r="L824" t="str">
        <f t="shared" si="60"/>
        <v>2020/01/29</v>
      </c>
      <c r="M824" t="str">
        <f t="shared" si="61"/>
        <v>2020/04/01</v>
      </c>
      <c r="N824" t="s">
        <v>9</v>
      </c>
    </row>
    <row r="825" spans="3:14" hidden="1" x14ac:dyDescent="0.2">
      <c r="C825" t="s">
        <v>10</v>
      </c>
      <c r="D825">
        <v>376188</v>
      </c>
      <c r="E825">
        <v>171</v>
      </c>
      <c r="F825">
        <f>M825-L825</f>
        <v>6</v>
      </c>
      <c r="I825" t="s">
        <v>42</v>
      </c>
      <c r="J825" t="s">
        <v>43</v>
      </c>
      <c r="L825" t="str">
        <f t="shared" si="60"/>
        <v>2020/01/23</v>
      </c>
      <c r="M825" t="str">
        <f t="shared" si="61"/>
        <v>2020/01/29</v>
      </c>
      <c r="N825" t="s">
        <v>13</v>
      </c>
    </row>
    <row r="826" spans="3:14" hidden="1" x14ac:dyDescent="0.2">
      <c r="C826" t="s">
        <v>6</v>
      </c>
      <c r="D826">
        <v>199769</v>
      </c>
      <c r="E826">
        <v>253</v>
      </c>
      <c r="I826" t="s">
        <v>417</v>
      </c>
      <c r="L826" t="str">
        <f t="shared" si="60"/>
        <v>2020/02/19</v>
      </c>
      <c r="M826" t="e">
        <f t="shared" si="61"/>
        <v>#VALUE!</v>
      </c>
      <c r="N826" t="s">
        <v>9</v>
      </c>
    </row>
    <row r="827" spans="3:14" x14ac:dyDescent="0.2">
      <c r="C827" t="s">
        <v>6</v>
      </c>
      <c r="D827">
        <v>15768</v>
      </c>
      <c r="E827">
        <v>146</v>
      </c>
      <c r="F827">
        <f>M827-L827</f>
        <v>27</v>
      </c>
      <c r="I827" t="s">
        <v>47</v>
      </c>
      <c r="J827" t="s">
        <v>8</v>
      </c>
      <c r="L827" t="str">
        <f t="shared" si="60"/>
        <v>2020/02/06</v>
      </c>
      <c r="M827" t="str">
        <f t="shared" si="61"/>
        <v>2020/03/04</v>
      </c>
      <c r="N827" t="s">
        <v>9</v>
      </c>
    </row>
    <row r="828" spans="3:14" x14ac:dyDescent="0.2">
      <c r="C828" t="s">
        <v>6</v>
      </c>
      <c r="D828">
        <v>1423438</v>
      </c>
      <c r="E828">
        <v>1814</v>
      </c>
      <c r="F828">
        <f>M828-L828</f>
        <v>26</v>
      </c>
      <c r="I828" t="s">
        <v>81</v>
      </c>
      <c r="J828" t="s">
        <v>82</v>
      </c>
      <c r="L828" t="str">
        <f t="shared" si="60"/>
        <v>2020/01/06</v>
      </c>
      <c r="M828" t="str">
        <f t="shared" si="61"/>
        <v>2020/02/01</v>
      </c>
      <c r="N828" t="s">
        <v>9</v>
      </c>
    </row>
    <row r="829" spans="3:14" hidden="1" x14ac:dyDescent="0.2">
      <c r="C829" t="s">
        <v>10</v>
      </c>
      <c r="D829">
        <v>102981</v>
      </c>
      <c r="E829">
        <v>141</v>
      </c>
      <c r="F829">
        <f>M829-L829</f>
        <v>14</v>
      </c>
      <c r="I829" t="s">
        <v>185</v>
      </c>
      <c r="J829" t="s">
        <v>186</v>
      </c>
      <c r="L829" t="str">
        <f t="shared" si="60"/>
        <v>2020/01/15</v>
      </c>
      <c r="M829" t="str">
        <f t="shared" si="61"/>
        <v>2020/01/29</v>
      </c>
      <c r="N829" t="s">
        <v>187</v>
      </c>
    </row>
    <row r="830" spans="3:14" x14ac:dyDescent="0.2">
      <c r="C830" t="s">
        <v>6</v>
      </c>
      <c r="D830">
        <v>645</v>
      </c>
      <c r="E830">
        <v>2</v>
      </c>
      <c r="F830">
        <f>M830-L830</f>
        <v>10</v>
      </c>
      <c r="I830" t="s">
        <v>16</v>
      </c>
      <c r="J830" t="s">
        <v>8</v>
      </c>
      <c r="L830" t="str">
        <f t="shared" si="60"/>
        <v>2020/02/23</v>
      </c>
      <c r="M830" t="str">
        <f t="shared" si="61"/>
        <v>2020/03/04</v>
      </c>
      <c r="N830" t="s">
        <v>9</v>
      </c>
    </row>
    <row r="831" spans="3:14" x14ac:dyDescent="0.2">
      <c r="C831" t="s">
        <v>6</v>
      </c>
      <c r="D831">
        <v>1623372</v>
      </c>
      <c r="E831">
        <v>3305</v>
      </c>
      <c r="F831">
        <f>M831-L831</f>
        <v>10</v>
      </c>
      <c r="I831" t="s">
        <v>133</v>
      </c>
      <c r="J831" t="s">
        <v>134</v>
      </c>
      <c r="L831" t="str">
        <f t="shared" si="60"/>
        <v>2020/02/22</v>
      </c>
      <c r="M831" t="str">
        <f t="shared" si="61"/>
        <v>2020/03/03</v>
      </c>
      <c r="N831" t="s">
        <v>9</v>
      </c>
    </row>
    <row r="832" spans="3:14" hidden="1" x14ac:dyDescent="0.2">
      <c r="C832" t="s">
        <v>6</v>
      </c>
      <c r="D832">
        <v>7893</v>
      </c>
      <c r="E832">
        <v>24</v>
      </c>
      <c r="I832" t="s">
        <v>131</v>
      </c>
      <c r="L832" t="str">
        <f t="shared" si="60"/>
        <v>2020/01/24</v>
      </c>
      <c r="M832" t="e">
        <f t="shared" si="61"/>
        <v>#VALUE!</v>
      </c>
      <c r="N832" t="s">
        <v>9</v>
      </c>
    </row>
    <row r="833" spans="3:14" x14ac:dyDescent="0.2">
      <c r="C833" t="s">
        <v>6</v>
      </c>
      <c r="D833">
        <v>445</v>
      </c>
      <c r="E833">
        <v>4</v>
      </c>
      <c r="F833">
        <f t="shared" ref="F833:F840" si="63">M833-L833</f>
        <v>4</v>
      </c>
      <c r="I833" t="s">
        <v>37</v>
      </c>
      <c r="J833" t="s">
        <v>38</v>
      </c>
      <c r="L833" t="str">
        <f t="shared" si="60"/>
        <v>2020/02/07</v>
      </c>
      <c r="M833" t="str">
        <f t="shared" si="61"/>
        <v>2020/02/11</v>
      </c>
      <c r="N833" t="s">
        <v>9</v>
      </c>
    </row>
    <row r="834" spans="3:14" hidden="1" x14ac:dyDescent="0.2">
      <c r="C834" t="s">
        <v>39</v>
      </c>
      <c r="D834">
        <v>10758</v>
      </c>
      <c r="E834">
        <v>21</v>
      </c>
      <c r="F834">
        <f t="shared" si="63"/>
        <v>343</v>
      </c>
      <c r="I834" t="s">
        <v>83</v>
      </c>
      <c r="J834" t="s">
        <v>84</v>
      </c>
      <c r="L834" t="str">
        <f t="shared" si="60"/>
        <v>2020/01/24</v>
      </c>
      <c r="M834" t="str">
        <f t="shared" si="61"/>
        <v>2021/01/01</v>
      </c>
      <c r="N834" t="s">
        <v>41</v>
      </c>
    </row>
    <row r="835" spans="3:14" x14ac:dyDescent="0.2">
      <c r="C835" t="s">
        <v>6</v>
      </c>
      <c r="D835">
        <v>187808</v>
      </c>
      <c r="E835">
        <v>267</v>
      </c>
      <c r="F835">
        <f t="shared" si="63"/>
        <v>-2</v>
      </c>
      <c r="I835" t="s">
        <v>79</v>
      </c>
      <c r="J835" t="s">
        <v>80</v>
      </c>
      <c r="L835" t="str">
        <f t="shared" ref="L835:L898" si="64">LEFT(I835,FIND(" ",I835)-1)</f>
        <v>2020/01/03</v>
      </c>
      <c r="M835" t="str">
        <f t="shared" ref="M835:M898" si="65">LEFT(J835,FIND(" ",J835)-1)</f>
        <v>2020/01/01</v>
      </c>
      <c r="N835" t="s">
        <v>9</v>
      </c>
    </row>
    <row r="836" spans="3:14" x14ac:dyDescent="0.2">
      <c r="C836" t="s">
        <v>6</v>
      </c>
      <c r="D836">
        <v>771645</v>
      </c>
      <c r="E836">
        <v>1659</v>
      </c>
      <c r="F836">
        <f t="shared" si="63"/>
        <v>32</v>
      </c>
      <c r="I836" t="s">
        <v>72</v>
      </c>
      <c r="J836" t="s">
        <v>104</v>
      </c>
      <c r="L836" t="str">
        <f t="shared" si="64"/>
        <v>2020/01/03</v>
      </c>
      <c r="M836" t="str">
        <f t="shared" si="65"/>
        <v>2020/02/04</v>
      </c>
      <c r="N836" t="s">
        <v>9</v>
      </c>
    </row>
    <row r="837" spans="3:14" hidden="1" x14ac:dyDescent="0.2">
      <c r="C837" t="s">
        <v>10</v>
      </c>
      <c r="D837">
        <v>34308</v>
      </c>
      <c r="E837">
        <v>152</v>
      </c>
      <c r="F837">
        <f t="shared" si="63"/>
        <v>6</v>
      </c>
      <c r="I837" t="s">
        <v>360</v>
      </c>
      <c r="J837" t="s">
        <v>361</v>
      </c>
      <c r="L837" t="str">
        <f t="shared" si="64"/>
        <v>2020/02/07</v>
      </c>
      <c r="M837" t="str">
        <f t="shared" si="65"/>
        <v>2020/02/13</v>
      </c>
      <c r="N837" t="s">
        <v>13</v>
      </c>
    </row>
    <row r="838" spans="3:14" x14ac:dyDescent="0.2">
      <c r="C838" t="s">
        <v>6</v>
      </c>
      <c r="D838">
        <v>41497994</v>
      </c>
      <c r="E838">
        <v>48458</v>
      </c>
      <c r="F838">
        <f t="shared" si="63"/>
        <v>63</v>
      </c>
      <c r="I838" t="s">
        <v>132</v>
      </c>
      <c r="J838" t="s">
        <v>15</v>
      </c>
      <c r="L838" t="str">
        <f t="shared" si="64"/>
        <v>2020/01/29</v>
      </c>
      <c r="M838" t="str">
        <f t="shared" si="65"/>
        <v>2020/04/01</v>
      </c>
      <c r="N838" t="s">
        <v>9</v>
      </c>
    </row>
    <row r="839" spans="3:14" x14ac:dyDescent="0.2">
      <c r="C839" t="s">
        <v>6</v>
      </c>
      <c r="D839">
        <v>15528</v>
      </c>
      <c r="E839">
        <v>33</v>
      </c>
      <c r="F839">
        <f t="shared" si="63"/>
        <v>40</v>
      </c>
      <c r="I839" t="s">
        <v>72</v>
      </c>
      <c r="J839" t="s">
        <v>73</v>
      </c>
      <c r="L839" t="str">
        <f t="shared" si="64"/>
        <v>2020/01/03</v>
      </c>
      <c r="M839" t="str">
        <f t="shared" si="65"/>
        <v>2020/02/12</v>
      </c>
      <c r="N839" t="s">
        <v>9</v>
      </c>
    </row>
    <row r="840" spans="3:14" x14ac:dyDescent="0.2">
      <c r="C840" t="s">
        <v>6</v>
      </c>
      <c r="D840">
        <v>54706</v>
      </c>
      <c r="E840">
        <v>109</v>
      </c>
      <c r="F840">
        <f t="shared" si="63"/>
        <v>26</v>
      </c>
      <c r="I840" t="s">
        <v>60</v>
      </c>
      <c r="J840" t="s">
        <v>61</v>
      </c>
      <c r="L840" t="str">
        <f t="shared" si="64"/>
        <v>2020/02/04</v>
      </c>
      <c r="M840" t="str">
        <f t="shared" si="65"/>
        <v>2020/03/01</v>
      </c>
      <c r="N840" t="s">
        <v>9</v>
      </c>
    </row>
    <row r="841" spans="3:14" hidden="1" x14ac:dyDescent="0.2">
      <c r="C841" t="s">
        <v>6</v>
      </c>
      <c r="D841">
        <v>13496</v>
      </c>
      <c r="E841">
        <v>19</v>
      </c>
      <c r="I841" t="s">
        <v>328</v>
      </c>
      <c r="L841" t="str">
        <f t="shared" si="64"/>
        <v>2020/01/22</v>
      </c>
      <c r="M841" t="e">
        <f t="shared" si="65"/>
        <v>#VALUE!</v>
      </c>
      <c r="N841" t="s">
        <v>9</v>
      </c>
    </row>
    <row r="842" spans="3:14" x14ac:dyDescent="0.2">
      <c r="C842" t="s">
        <v>6</v>
      </c>
      <c r="D842">
        <v>61692</v>
      </c>
      <c r="E842">
        <v>508</v>
      </c>
      <c r="F842">
        <f>M842-L842</f>
        <v>27</v>
      </c>
      <c r="I842" t="s">
        <v>31</v>
      </c>
      <c r="J842" t="s">
        <v>24</v>
      </c>
      <c r="L842" t="str">
        <f t="shared" si="64"/>
        <v>2020/02/06</v>
      </c>
      <c r="M842" t="str">
        <f t="shared" si="65"/>
        <v>2020/03/04</v>
      </c>
      <c r="N842" t="s">
        <v>9</v>
      </c>
    </row>
    <row r="843" spans="3:14" x14ac:dyDescent="0.2">
      <c r="C843" t="s">
        <v>6</v>
      </c>
      <c r="D843">
        <v>44534</v>
      </c>
      <c r="E843">
        <v>79</v>
      </c>
      <c r="F843">
        <f>M843-L843</f>
        <v>226</v>
      </c>
      <c r="I843" t="s">
        <v>21</v>
      </c>
      <c r="J843" t="s">
        <v>22</v>
      </c>
      <c r="L843" t="str">
        <f t="shared" si="64"/>
        <v>2019/10/18</v>
      </c>
      <c r="M843" t="str">
        <f t="shared" si="65"/>
        <v>2020/05/31</v>
      </c>
      <c r="N843" t="s">
        <v>9</v>
      </c>
    </row>
    <row r="844" spans="3:14" x14ac:dyDescent="0.2">
      <c r="C844" t="s">
        <v>6</v>
      </c>
      <c r="D844">
        <v>54874</v>
      </c>
      <c r="E844">
        <v>88</v>
      </c>
      <c r="F844">
        <f>M844-L844</f>
        <v>7</v>
      </c>
      <c r="I844" t="s">
        <v>125</v>
      </c>
      <c r="J844" t="s">
        <v>126</v>
      </c>
      <c r="L844" t="str">
        <f t="shared" si="64"/>
        <v>2020/01/23</v>
      </c>
      <c r="M844" t="str">
        <f t="shared" si="65"/>
        <v>2020/01/30</v>
      </c>
      <c r="N844" t="s">
        <v>9</v>
      </c>
    </row>
    <row r="845" spans="3:14" hidden="1" x14ac:dyDescent="0.2">
      <c r="C845" t="s">
        <v>6</v>
      </c>
      <c r="D845">
        <v>2080</v>
      </c>
      <c r="E845">
        <v>3</v>
      </c>
      <c r="I845" t="s">
        <v>188</v>
      </c>
      <c r="L845" t="str">
        <f t="shared" si="64"/>
        <v>2020/01/20</v>
      </c>
      <c r="M845" t="e">
        <f t="shared" si="65"/>
        <v>#VALUE!</v>
      </c>
      <c r="N845" t="s">
        <v>9</v>
      </c>
    </row>
    <row r="846" spans="3:14" x14ac:dyDescent="0.2">
      <c r="C846" t="s">
        <v>6</v>
      </c>
      <c r="D846">
        <v>19292554</v>
      </c>
      <c r="E846">
        <v>48487</v>
      </c>
      <c r="F846">
        <f>M846-L846</f>
        <v>63</v>
      </c>
      <c r="I846" t="s">
        <v>132</v>
      </c>
      <c r="J846" t="s">
        <v>15</v>
      </c>
      <c r="L846" t="str">
        <f t="shared" si="64"/>
        <v>2020/01/29</v>
      </c>
      <c r="M846" t="str">
        <f t="shared" si="65"/>
        <v>2020/04/01</v>
      </c>
      <c r="N846" t="s">
        <v>9</v>
      </c>
    </row>
    <row r="847" spans="3:14" x14ac:dyDescent="0.2">
      <c r="C847" t="s">
        <v>6</v>
      </c>
      <c r="D847">
        <v>2090493</v>
      </c>
      <c r="E847">
        <v>11000</v>
      </c>
      <c r="F847">
        <f>M847-L847</f>
        <v>14</v>
      </c>
      <c r="I847" t="s">
        <v>332</v>
      </c>
      <c r="J847" t="s">
        <v>333</v>
      </c>
      <c r="L847" t="str">
        <f t="shared" si="64"/>
        <v>2020/01/22</v>
      </c>
      <c r="M847" t="str">
        <f t="shared" si="65"/>
        <v>2020/02/05</v>
      </c>
      <c r="N847" t="s">
        <v>9</v>
      </c>
    </row>
    <row r="848" spans="3:14" hidden="1" x14ac:dyDescent="0.2">
      <c r="C848" t="s">
        <v>10</v>
      </c>
      <c r="D848">
        <v>866</v>
      </c>
      <c r="E848">
        <v>0</v>
      </c>
      <c r="I848" t="s">
        <v>36</v>
      </c>
      <c r="L848" t="str">
        <f t="shared" si="64"/>
        <v>2020/01/17</v>
      </c>
      <c r="M848" t="e">
        <f t="shared" si="65"/>
        <v>#VALUE!</v>
      </c>
      <c r="N848" t="s">
        <v>28</v>
      </c>
    </row>
    <row r="849" spans="3:14" x14ac:dyDescent="0.2">
      <c r="C849" t="s">
        <v>6</v>
      </c>
      <c r="D849">
        <v>16521</v>
      </c>
      <c r="E849">
        <v>15</v>
      </c>
      <c r="F849">
        <f>M849-L849</f>
        <v>7</v>
      </c>
      <c r="I849" t="s">
        <v>418</v>
      </c>
      <c r="J849" t="s">
        <v>419</v>
      </c>
      <c r="L849" t="str">
        <f t="shared" si="64"/>
        <v>2020/01/19</v>
      </c>
      <c r="M849" t="str">
        <f t="shared" si="65"/>
        <v>2020/01/26</v>
      </c>
      <c r="N849" t="s">
        <v>9</v>
      </c>
    </row>
    <row r="850" spans="3:14" hidden="1" x14ac:dyDescent="0.2">
      <c r="C850" t="s">
        <v>10</v>
      </c>
      <c r="D850">
        <v>34805</v>
      </c>
      <c r="E850">
        <v>173</v>
      </c>
      <c r="F850">
        <f>M850-L850</f>
        <v>23</v>
      </c>
      <c r="I850" t="s">
        <v>267</v>
      </c>
      <c r="J850" t="s">
        <v>268</v>
      </c>
      <c r="L850" t="str">
        <f t="shared" si="64"/>
        <v>2019/12/20</v>
      </c>
      <c r="M850" t="str">
        <f t="shared" si="65"/>
        <v>2020/01/12</v>
      </c>
      <c r="N850" t="s">
        <v>187</v>
      </c>
    </row>
    <row r="851" spans="3:14" hidden="1" x14ac:dyDescent="0.2">
      <c r="C851" t="s">
        <v>6</v>
      </c>
      <c r="D851">
        <v>281621</v>
      </c>
      <c r="E851">
        <v>306</v>
      </c>
      <c r="I851" t="s">
        <v>420</v>
      </c>
      <c r="L851" t="str">
        <f t="shared" si="64"/>
        <v>2020/02/07</v>
      </c>
      <c r="M851" t="e">
        <f t="shared" si="65"/>
        <v>#VALUE!</v>
      </c>
      <c r="N851" t="s">
        <v>9</v>
      </c>
    </row>
    <row r="852" spans="3:14" x14ac:dyDescent="0.2">
      <c r="C852" t="s">
        <v>6</v>
      </c>
      <c r="D852">
        <v>63338</v>
      </c>
      <c r="E852">
        <v>139</v>
      </c>
      <c r="F852">
        <f>M852-L852</f>
        <v>32</v>
      </c>
      <c r="I852" t="s">
        <v>72</v>
      </c>
      <c r="J852" t="s">
        <v>104</v>
      </c>
      <c r="L852" t="str">
        <f t="shared" si="64"/>
        <v>2020/01/03</v>
      </c>
      <c r="M852" t="str">
        <f t="shared" si="65"/>
        <v>2020/02/04</v>
      </c>
      <c r="N852" t="s">
        <v>9</v>
      </c>
    </row>
    <row r="853" spans="3:14" hidden="1" x14ac:dyDescent="0.2">
      <c r="C853" t="s">
        <v>6</v>
      </c>
      <c r="D853">
        <v>119</v>
      </c>
      <c r="E853">
        <v>0</v>
      </c>
      <c r="I853" t="s">
        <v>396</v>
      </c>
      <c r="L853" t="str">
        <f t="shared" si="64"/>
        <v>2020/01/18</v>
      </c>
      <c r="M853" t="e">
        <f t="shared" si="65"/>
        <v>#VALUE!</v>
      </c>
      <c r="N853" t="s">
        <v>9</v>
      </c>
    </row>
    <row r="854" spans="3:14" x14ac:dyDescent="0.2">
      <c r="C854" t="s">
        <v>6</v>
      </c>
      <c r="D854">
        <v>284</v>
      </c>
      <c r="E854">
        <v>1</v>
      </c>
      <c r="F854">
        <f t="shared" ref="F854:F867" si="66">M854-L854</f>
        <v>10</v>
      </c>
      <c r="I854" t="s">
        <v>7</v>
      </c>
      <c r="J854" t="s">
        <v>8</v>
      </c>
      <c r="L854" t="str">
        <f t="shared" si="64"/>
        <v>2020/02/23</v>
      </c>
      <c r="M854" t="str">
        <f t="shared" si="65"/>
        <v>2020/03/04</v>
      </c>
      <c r="N854" t="s">
        <v>9</v>
      </c>
    </row>
    <row r="855" spans="3:14" x14ac:dyDescent="0.2">
      <c r="C855" t="s">
        <v>6</v>
      </c>
      <c r="D855">
        <v>68020</v>
      </c>
      <c r="E855">
        <v>242</v>
      </c>
      <c r="F855">
        <f t="shared" si="66"/>
        <v>13</v>
      </c>
      <c r="I855" t="s">
        <v>421</v>
      </c>
      <c r="J855" t="s">
        <v>250</v>
      </c>
      <c r="L855" t="str">
        <f t="shared" si="64"/>
        <v>2020/02/20</v>
      </c>
      <c r="M855" t="str">
        <f t="shared" si="65"/>
        <v>2020/03/04</v>
      </c>
      <c r="N855" t="s">
        <v>9</v>
      </c>
    </row>
    <row r="856" spans="3:14" x14ac:dyDescent="0.2">
      <c r="C856" t="s">
        <v>6</v>
      </c>
      <c r="D856">
        <v>322429</v>
      </c>
      <c r="E856">
        <v>609</v>
      </c>
      <c r="F856">
        <f t="shared" si="66"/>
        <v>29</v>
      </c>
      <c r="I856" t="s">
        <v>170</v>
      </c>
      <c r="J856" t="s">
        <v>171</v>
      </c>
      <c r="L856" t="str">
        <f t="shared" si="64"/>
        <v>2020/02/01</v>
      </c>
      <c r="M856" t="str">
        <f t="shared" si="65"/>
        <v>2020/03/01</v>
      </c>
      <c r="N856" t="s">
        <v>9</v>
      </c>
    </row>
    <row r="857" spans="3:14" x14ac:dyDescent="0.2">
      <c r="C857" t="s">
        <v>6</v>
      </c>
      <c r="D857">
        <v>106995</v>
      </c>
      <c r="E857">
        <v>241</v>
      </c>
      <c r="F857">
        <f t="shared" si="66"/>
        <v>81</v>
      </c>
      <c r="I857" t="s">
        <v>70</v>
      </c>
      <c r="J857" t="s">
        <v>71</v>
      </c>
      <c r="L857" t="str">
        <f t="shared" si="64"/>
        <v>2019/11/19</v>
      </c>
      <c r="M857" t="str">
        <f t="shared" si="65"/>
        <v>2020/02/08</v>
      </c>
      <c r="N857" t="s">
        <v>9</v>
      </c>
    </row>
    <row r="858" spans="3:14" x14ac:dyDescent="0.2">
      <c r="C858" t="s">
        <v>6</v>
      </c>
      <c r="D858">
        <v>2499263</v>
      </c>
      <c r="E858">
        <v>24443</v>
      </c>
      <c r="F858">
        <f t="shared" si="66"/>
        <v>8</v>
      </c>
      <c r="I858" t="s">
        <v>62</v>
      </c>
      <c r="J858" t="s">
        <v>63</v>
      </c>
      <c r="L858" t="str">
        <f t="shared" si="64"/>
        <v>2020/02/08</v>
      </c>
      <c r="M858" t="str">
        <f t="shared" si="65"/>
        <v>2020/02/16</v>
      </c>
      <c r="N858" t="s">
        <v>9</v>
      </c>
    </row>
    <row r="859" spans="3:14" x14ac:dyDescent="0.2">
      <c r="C859" t="s">
        <v>6</v>
      </c>
      <c r="D859">
        <v>51465</v>
      </c>
      <c r="E859">
        <v>83</v>
      </c>
      <c r="F859">
        <f t="shared" si="66"/>
        <v>7</v>
      </c>
      <c r="I859" t="s">
        <v>125</v>
      </c>
      <c r="J859" t="s">
        <v>126</v>
      </c>
      <c r="L859" t="str">
        <f t="shared" si="64"/>
        <v>2020/01/23</v>
      </c>
      <c r="M859" t="str">
        <f t="shared" si="65"/>
        <v>2020/01/30</v>
      </c>
      <c r="N859" t="s">
        <v>9</v>
      </c>
    </row>
    <row r="860" spans="3:14" hidden="1" x14ac:dyDescent="0.2">
      <c r="C860" t="s">
        <v>10</v>
      </c>
      <c r="D860">
        <v>4923534</v>
      </c>
      <c r="E860">
        <v>1962</v>
      </c>
      <c r="F860">
        <f t="shared" si="66"/>
        <v>45</v>
      </c>
      <c r="I860" t="s">
        <v>309</v>
      </c>
      <c r="J860" t="s">
        <v>77</v>
      </c>
      <c r="L860" t="str">
        <f t="shared" si="64"/>
        <v>2020/01/16</v>
      </c>
      <c r="M860" t="str">
        <f t="shared" si="65"/>
        <v>2020/03/01</v>
      </c>
      <c r="N860" t="s">
        <v>78</v>
      </c>
    </row>
    <row r="861" spans="3:14" x14ac:dyDescent="0.2">
      <c r="C861" t="s">
        <v>6</v>
      </c>
      <c r="D861">
        <v>16740852</v>
      </c>
      <c r="E861">
        <v>41594</v>
      </c>
      <c r="F861">
        <f t="shared" si="66"/>
        <v>21</v>
      </c>
      <c r="I861" t="s">
        <v>149</v>
      </c>
      <c r="J861" t="s">
        <v>150</v>
      </c>
      <c r="L861" t="str">
        <f t="shared" si="64"/>
        <v>2020/01/08</v>
      </c>
      <c r="M861" t="str">
        <f t="shared" si="65"/>
        <v>2020/01/29</v>
      </c>
      <c r="N861" t="s">
        <v>9</v>
      </c>
    </row>
    <row r="862" spans="3:14" x14ac:dyDescent="0.2">
      <c r="C862" t="s">
        <v>6</v>
      </c>
      <c r="D862">
        <v>990344</v>
      </c>
      <c r="E862">
        <v>9441</v>
      </c>
      <c r="F862">
        <f t="shared" si="66"/>
        <v>84</v>
      </c>
      <c r="I862" t="s">
        <v>66</v>
      </c>
      <c r="J862" t="s">
        <v>15</v>
      </c>
      <c r="L862" t="str">
        <f t="shared" si="64"/>
        <v>2020/01/08</v>
      </c>
      <c r="M862" t="str">
        <f t="shared" si="65"/>
        <v>2020/04/01</v>
      </c>
      <c r="N862" t="s">
        <v>9</v>
      </c>
    </row>
    <row r="863" spans="3:14" hidden="1" x14ac:dyDescent="0.2">
      <c r="C863" t="s">
        <v>56</v>
      </c>
      <c r="D863">
        <v>99969</v>
      </c>
      <c r="E863">
        <v>69</v>
      </c>
      <c r="F863">
        <f t="shared" si="66"/>
        <v>7</v>
      </c>
      <c r="I863" t="s">
        <v>145</v>
      </c>
      <c r="J863" t="s">
        <v>146</v>
      </c>
      <c r="L863" t="str">
        <f t="shared" si="64"/>
        <v>2020/01/03</v>
      </c>
      <c r="M863" t="str">
        <f t="shared" si="65"/>
        <v>2020/01/10</v>
      </c>
      <c r="N863" t="s">
        <v>59</v>
      </c>
    </row>
    <row r="864" spans="3:14" x14ac:dyDescent="0.2">
      <c r="C864" t="s">
        <v>6</v>
      </c>
      <c r="D864">
        <v>170584</v>
      </c>
      <c r="E864">
        <v>503</v>
      </c>
      <c r="F864">
        <f t="shared" si="66"/>
        <v>40</v>
      </c>
      <c r="I864" t="s">
        <v>72</v>
      </c>
      <c r="J864" t="s">
        <v>73</v>
      </c>
      <c r="L864" t="str">
        <f t="shared" si="64"/>
        <v>2020/01/03</v>
      </c>
      <c r="M864" t="str">
        <f t="shared" si="65"/>
        <v>2020/02/12</v>
      </c>
      <c r="N864" t="s">
        <v>9</v>
      </c>
    </row>
    <row r="865" spans="3:14" x14ac:dyDescent="0.2">
      <c r="C865" t="s">
        <v>6</v>
      </c>
      <c r="D865">
        <v>183518</v>
      </c>
      <c r="E865">
        <v>481</v>
      </c>
      <c r="F865">
        <f t="shared" si="66"/>
        <v>40</v>
      </c>
      <c r="I865" t="s">
        <v>72</v>
      </c>
      <c r="J865" t="s">
        <v>73</v>
      </c>
      <c r="L865" t="str">
        <f t="shared" si="64"/>
        <v>2020/01/03</v>
      </c>
      <c r="M865" t="str">
        <f t="shared" si="65"/>
        <v>2020/02/12</v>
      </c>
      <c r="N865" t="s">
        <v>9</v>
      </c>
    </row>
    <row r="866" spans="3:14" x14ac:dyDescent="0.2">
      <c r="C866" t="s">
        <v>6</v>
      </c>
      <c r="D866">
        <v>194987</v>
      </c>
      <c r="E866">
        <v>464</v>
      </c>
      <c r="F866">
        <f t="shared" si="66"/>
        <v>40</v>
      </c>
      <c r="I866" t="s">
        <v>72</v>
      </c>
      <c r="J866" t="s">
        <v>73</v>
      </c>
      <c r="L866" t="str">
        <f t="shared" si="64"/>
        <v>2020/01/03</v>
      </c>
      <c r="M866" t="str">
        <f t="shared" si="65"/>
        <v>2020/02/12</v>
      </c>
      <c r="N866" t="s">
        <v>9</v>
      </c>
    </row>
    <row r="867" spans="3:14" hidden="1" x14ac:dyDescent="0.2">
      <c r="C867" t="s">
        <v>10</v>
      </c>
      <c r="D867">
        <v>267808</v>
      </c>
      <c r="E867">
        <v>679</v>
      </c>
      <c r="F867">
        <f t="shared" si="66"/>
        <v>17</v>
      </c>
      <c r="I867" t="s">
        <v>139</v>
      </c>
      <c r="J867" t="s">
        <v>96</v>
      </c>
      <c r="L867" t="str">
        <f t="shared" si="64"/>
        <v>2020/01/08</v>
      </c>
      <c r="M867" t="str">
        <f t="shared" si="65"/>
        <v>2020/01/25</v>
      </c>
      <c r="N867" t="s">
        <v>87</v>
      </c>
    </row>
    <row r="868" spans="3:14" hidden="1" x14ac:dyDescent="0.2">
      <c r="C868" t="s">
        <v>10</v>
      </c>
      <c r="D868">
        <v>1943</v>
      </c>
      <c r="E868">
        <v>1</v>
      </c>
      <c r="I868" t="s">
        <v>36</v>
      </c>
      <c r="L868" t="str">
        <f t="shared" si="64"/>
        <v>2020/01/17</v>
      </c>
      <c r="M868" t="e">
        <f t="shared" si="65"/>
        <v>#VALUE!</v>
      </c>
      <c r="N868" t="s">
        <v>28</v>
      </c>
    </row>
    <row r="869" spans="3:14" x14ac:dyDescent="0.2">
      <c r="C869" t="s">
        <v>6</v>
      </c>
      <c r="D869">
        <v>1609764</v>
      </c>
      <c r="E869">
        <v>4870</v>
      </c>
      <c r="F869">
        <f>M869-L869</f>
        <v>31</v>
      </c>
      <c r="I869" t="s">
        <v>45</v>
      </c>
      <c r="J869" t="s">
        <v>46</v>
      </c>
      <c r="L869" t="str">
        <f t="shared" si="64"/>
        <v>2020/01/01</v>
      </c>
      <c r="M869" t="str">
        <f t="shared" si="65"/>
        <v>2020/02/01</v>
      </c>
      <c r="N869" t="s">
        <v>9</v>
      </c>
    </row>
    <row r="870" spans="3:14" x14ac:dyDescent="0.2">
      <c r="C870" t="s">
        <v>6</v>
      </c>
      <c r="D870">
        <v>2920520</v>
      </c>
      <c r="E870">
        <v>9575</v>
      </c>
      <c r="F870">
        <f>M870-L870</f>
        <v>6</v>
      </c>
      <c r="I870" t="s">
        <v>284</v>
      </c>
      <c r="J870" t="s">
        <v>150</v>
      </c>
      <c r="L870" t="str">
        <f t="shared" si="64"/>
        <v>2020/01/23</v>
      </c>
      <c r="M870" t="str">
        <f t="shared" si="65"/>
        <v>2020/01/29</v>
      </c>
      <c r="N870" t="s">
        <v>9</v>
      </c>
    </row>
    <row r="871" spans="3:14" hidden="1" x14ac:dyDescent="0.2">
      <c r="C871" t="s">
        <v>39</v>
      </c>
      <c r="D871">
        <v>30086</v>
      </c>
      <c r="E871">
        <v>76</v>
      </c>
      <c r="I871" t="s">
        <v>40</v>
      </c>
      <c r="L871" t="str">
        <f t="shared" si="64"/>
        <v>2020/02/01</v>
      </c>
      <c r="M871" t="e">
        <f t="shared" si="65"/>
        <v>#VALUE!</v>
      </c>
      <c r="N871" t="s">
        <v>41</v>
      </c>
    </row>
    <row r="872" spans="3:14" x14ac:dyDescent="0.2">
      <c r="C872" t="s">
        <v>6</v>
      </c>
      <c r="D872">
        <v>3250412</v>
      </c>
      <c r="E872">
        <v>3703</v>
      </c>
      <c r="F872">
        <f>M872-L872</f>
        <v>63</v>
      </c>
      <c r="I872" t="s">
        <v>18</v>
      </c>
      <c r="J872" t="s">
        <v>15</v>
      </c>
      <c r="L872" t="str">
        <f t="shared" si="64"/>
        <v>2020/01/29</v>
      </c>
      <c r="M872" t="str">
        <f t="shared" si="65"/>
        <v>2020/04/01</v>
      </c>
      <c r="N872" t="s">
        <v>9</v>
      </c>
    </row>
    <row r="873" spans="3:14" hidden="1" x14ac:dyDescent="0.2">
      <c r="C873" t="s">
        <v>6</v>
      </c>
      <c r="D873">
        <v>2836</v>
      </c>
      <c r="E873">
        <v>4</v>
      </c>
      <c r="I873" t="s">
        <v>375</v>
      </c>
      <c r="L873" t="str">
        <f t="shared" si="64"/>
        <v>2020/02/08</v>
      </c>
      <c r="M873" t="e">
        <f t="shared" si="65"/>
        <v>#VALUE!</v>
      </c>
      <c r="N873" t="s">
        <v>9</v>
      </c>
    </row>
    <row r="874" spans="3:14" hidden="1" x14ac:dyDescent="0.2">
      <c r="C874" t="s">
        <v>127</v>
      </c>
      <c r="D874">
        <v>2460</v>
      </c>
      <c r="E874">
        <v>14</v>
      </c>
      <c r="F874">
        <f>M874-L874</f>
        <v>6</v>
      </c>
      <c r="I874" t="s">
        <v>166</v>
      </c>
      <c r="J874" t="s">
        <v>303</v>
      </c>
      <c r="L874" t="str">
        <f t="shared" si="64"/>
        <v>2020/02/16</v>
      </c>
      <c r="M874" t="str">
        <f t="shared" si="65"/>
        <v>2020/02/22</v>
      </c>
      <c r="N874" t="s">
        <v>130</v>
      </c>
    </row>
    <row r="875" spans="3:14" x14ac:dyDescent="0.2">
      <c r="C875" t="s">
        <v>6</v>
      </c>
      <c r="D875">
        <v>6082829</v>
      </c>
      <c r="E875">
        <v>7255</v>
      </c>
      <c r="F875">
        <f>M875-L875</f>
        <v>63</v>
      </c>
      <c r="I875" t="s">
        <v>18</v>
      </c>
      <c r="J875" t="s">
        <v>15</v>
      </c>
      <c r="L875" t="str">
        <f t="shared" si="64"/>
        <v>2020/01/29</v>
      </c>
      <c r="M875" t="str">
        <f t="shared" si="65"/>
        <v>2020/04/01</v>
      </c>
      <c r="N875" t="s">
        <v>9</v>
      </c>
    </row>
    <row r="876" spans="3:14" x14ac:dyDescent="0.2">
      <c r="C876" t="s">
        <v>6</v>
      </c>
      <c r="D876">
        <v>29885</v>
      </c>
      <c r="E876">
        <v>50</v>
      </c>
      <c r="F876">
        <f>M876-L876</f>
        <v>40</v>
      </c>
      <c r="I876" t="s">
        <v>72</v>
      </c>
      <c r="J876" t="s">
        <v>73</v>
      </c>
      <c r="L876" t="str">
        <f t="shared" si="64"/>
        <v>2020/01/03</v>
      </c>
      <c r="M876" t="str">
        <f t="shared" si="65"/>
        <v>2020/02/12</v>
      </c>
      <c r="N876" t="s">
        <v>9</v>
      </c>
    </row>
    <row r="877" spans="3:14" x14ac:dyDescent="0.2">
      <c r="C877" t="s">
        <v>6</v>
      </c>
      <c r="D877">
        <v>70587</v>
      </c>
      <c r="E877">
        <v>580</v>
      </c>
      <c r="F877">
        <f>M877-L877</f>
        <v>27</v>
      </c>
      <c r="I877" t="s">
        <v>31</v>
      </c>
      <c r="J877" t="s">
        <v>24</v>
      </c>
      <c r="L877" t="str">
        <f t="shared" si="64"/>
        <v>2020/02/06</v>
      </c>
      <c r="M877" t="str">
        <f t="shared" si="65"/>
        <v>2020/03/04</v>
      </c>
      <c r="N877" t="s">
        <v>9</v>
      </c>
    </row>
    <row r="878" spans="3:14" hidden="1" x14ac:dyDescent="0.2">
      <c r="C878" t="s">
        <v>6</v>
      </c>
      <c r="D878">
        <v>87492</v>
      </c>
      <c r="E878">
        <v>240</v>
      </c>
      <c r="I878" t="s">
        <v>422</v>
      </c>
      <c r="L878" t="str">
        <f t="shared" si="64"/>
        <v>2020/02/02</v>
      </c>
      <c r="M878" t="e">
        <f t="shared" si="65"/>
        <v>#VALUE!</v>
      </c>
      <c r="N878" t="s">
        <v>9</v>
      </c>
    </row>
    <row r="879" spans="3:14" x14ac:dyDescent="0.2">
      <c r="C879" t="s">
        <v>6</v>
      </c>
      <c r="D879">
        <v>424676</v>
      </c>
      <c r="E879">
        <v>795</v>
      </c>
      <c r="F879">
        <f>M879-L879</f>
        <v>40</v>
      </c>
      <c r="I879" t="s">
        <v>72</v>
      </c>
      <c r="J879" t="s">
        <v>73</v>
      </c>
      <c r="L879" t="str">
        <f t="shared" si="64"/>
        <v>2020/01/03</v>
      </c>
      <c r="M879" t="str">
        <f t="shared" si="65"/>
        <v>2020/02/12</v>
      </c>
      <c r="N879" t="s">
        <v>9</v>
      </c>
    </row>
    <row r="880" spans="3:14" x14ac:dyDescent="0.2">
      <c r="C880" t="s">
        <v>6</v>
      </c>
      <c r="D880">
        <v>147414</v>
      </c>
      <c r="E880">
        <v>322</v>
      </c>
      <c r="F880">
        <f>M880-L880</f>
        <v>12</v>
      </c>
      <c r="I880" t="s">
        <v>19</v>
      </c>
      <c r="J880" t="s">
        <v>26</v>
      </c>
      <c r="L880" t="str">
        <f t="shared" si="64"/>
        <v>2020/01/23</v>
      </c>
      <c r="M880" t="str">
        <f t="shared" si="65"/>
        <v>2020/02/04</v>
      </c>
      <c r="N880" t="s">
        <v>9</v>
      </c>
    </row>
    <row r="881" spans="1:14" x14ac:dyDescent="0.2">
      <c r="C881" t="s">
        <v>6</v>
      </c>
      <c r="D881">
        <v>81675</v>
      </c>
      <c r="E881">
        <v>138</v>
      </c>
      <c r="F881">
        <f>M881-L881</f>
        <v>12</v>
      </c>
      <c r="I881" t="s">
        <v>19</v>
      </c>
      <c r="J881" t="s">
        <v>20</v>
      </c>
      <c r="L881" t="str">
        <f t="shared" si="64"/>
        <v>2020/01/23</v>
      </c>
      <c r="M881" t="str">
        <f t="shared" si="65"/>
        <v>2020/02/04</v>
      </c>
      <c r="N881" t="s">
        <v>9</v>
      </c>
    </row>
    <row r="882" spans="1:14" hidden="1" x14ac:dyDescent="0.2">
      <c r="C882" t="s">
        <v>56</v>
      </c>
      <c r="D882">
        <v>2266414</v>
      </c>
      <c r="E882">
        <v>1708</v>
      </c>
      <c r="I882" t="s">
        <v>423</v>
      </c>
      <c r="L882" t="str">
        <f t="shared" si="64"/>
        <v>2020/01/15</v>
      </c>
      <c r="M882" t="e">
        <f t="shared" si="65"/>
        <v>#VALUE!</v>
      </c>
      <c r="N882" t="s">
        <v>59</v>
      </c>
    </row>
    <row r="883" spans="1:14" x14ac:dyDescent="0.2">
      <c r="C883" t="s">
        <v>6</v>
      </c>
      <c r="D883">
        <v>4749</v>
      </c>
      <c r="E883">
        <v>44</v>
      </c>
      <c r="F883">
        <f t="shared" ref="F883:F895" si="67">M883-L883</f>
        <v>27</v>
      </c>
      <c r="I883" t="s">
        <v>90</v>
      </c>
      <c r="J883" t="s">
        <v>91</v>
      </c>
      <c r="L883" t="str">
        <f t="shared" si="64"/>
        <v>2020/02/06</v>
      </c>
      <c r="M883" t="str">
        <f t="shared" si="65"/>
        <v>2020/03/04</v>
      </c>
      <c r="N883" t="s">
        <v>9</v>
      </c>
    </row>
    <row r="884" spans="1:14" x14ac:dyDescent="0.2">
      <c r="C884" t="s">
        <v>6</v>
      </c>
      <c r="D884">
        <v>43551</v>
      </c>
      <c r="E884">
        <v>97</v>
      </c>
      <c r="F884">
        <f t="shared" si="67"/>
        <v>17</v>
      </c>
      <c r="I884" t="s">
        <v>189</v>
      </c>
      <c r="J884" t="s">
        <v>190</v>
      </c>
      <c r="L884" t="str">
        <f t="shared" si="64"/>
        <v>2020/01/22</v>
      </c>
      <c r="M884" t="str">
        <f t="shared" si="65"/>
        <v>2020/02/08</v>
      </c>
      <c r="N884" t="s">
        <v>9</v>
      </c>
    </row>
    <row r="885" spans="1:14" x14ac:dyDescent="0.2">
      <c r="C885" t="s">
        <v>6</v>
      </c>
      <c r="D885">
        <v>480382</v>
      </c>
      <c r="E885">
        <v>4604</v>
      </c>
      <c r="F885">
        <f t="shared" si="67"/>
        <v>10</v>
      </c>
      <c r="I885" t="s">
        <v>133</v>
      </c>
      <c r="J885" t="s">
        <v>134</v>
      </c>
      <c r="L885" t="str">
        <f t="shared" si="64"/>
        <v>2020/02/22</v>
      </c>
      <c r="M885" t="str">
        <f t="shared" si="65"/>
        <v>2020/03/03</v>
      </c>
      <c r="N885" t="s">
        <v>9</v>
      </c>
    </row>
    <row r="886" spans="1:14" x14ac:dyDescent="0.2">
      <c r="A886" s="1"/>
      <c r="C886" t="s">
        <v>6</v>
      </c>
      <c r="D886">
        <v>1209373</v>
      </c>
      <c r="E886">
        <v>11716</v>
      </c>
      <c r="F886">
        <f t="shared" si="67"/>
        <v>8</v>
      </c>
      <c r="I886" t="s">
        <v>62</v>
      </c>
      <c r="J886" t="s">
        <v>63</v>
      </c>
      <c r="L886" t="str">
        <f t="shared" si="64"/>
        <v>2020/02/08</v>
      </c>
      <c r="M886" t="str">
        <f t="shared" si="65"/>
        <v>2020/02/16</v>
      </c>
      <c r="N886" t="s">
        <v>9</v>
      </c>
    </row>
    <row r="887" spans="1:14" x14ac:dyDescent="0.2">
      <c r="C887" t="s">
        <v>6</v>
      </c>
      <c r="D887">
        <v>643</v>
      </c>
      <c r="E887">
        <v>6</v>
      </c>
      <c r="F887">
        <f t="shared" si="67"/>
        <v>4</v>
      </c>
      <c r="I887" t="s">
        <v>37</v>
      </c>
      <c r="J887" t="s">
        <v>38</v>
      </c>
      <c r="L887" t="str">
        <f t="shared" si="64"/>
        <v>2020/02/07</v>
      </c>
      <c r="M887" t="str">
        <f t="shared" si="65"/>
        <v>2020/02/11</v>
      </c>
      <c r="N887" t="s">
        <v>9</v>
      </c>
    </row>
    <row r="888" spans="1:14" hidden="1" x14ac:dyDescent="0.2">
      <c r="C888" t="s">
        <v>56</v>
      </c>
      <c r="D888">
        <v>11708</v>
      </c>
      <c r="E888">
        <v>15</v>
      </c>
      <c r="F888">
        <f t="shared" si="67"/>
        <v>8</v>
      </c>
      <c r="I888" t="s">
        <v>97</v>
      </c>
      <c r="J888" t="s">
        <v>98</v>
      </c>
      <c r="L888" t="str">
        <f t="shared" si="64"/>
        <v>2020/01/20</v>
      </c>
      <c r="M888" t="str">
        <f t="shared" si="65"/>
        <v>2020/01/28</v>
      </c>
      <c r="N888" t="s">
        <v>59</v>
      </c>
    </row>
    <row r="889" spans="1:14" x14ac:dyDescent="0.2">
      <c r="C889" t="s">
        <v>6</v>
      </c>
      <c r="D889">
        <v>73321</v>
      </c>
      <c r="E889">
        <v>149</v>
      </c>
      <c r="F889">
        <f t="shared" si="67"/>
        <v>226</v>
      </c>
      <c r="I889" t="s">
        <v>21</v>
      </c>
      <c r="J889" t="s">
        <v>22</v>
      </c>
      <c r="L889" t="str">
        <f t="shared" si="64"/>
        <v>2019/10/18</v>
      </c>
      <c r="M889" t="str">
        <f t="shared" si="65"/>
        <v>2020/05/31</v>
      </c>
      <c r="N889" t="s">
        <v>9</v>
      </c>
    </row>
    <row r="890" spans="1:14" x14ac:dyDescent="0.2">
      <c r="C890" t="s">
        <v>6</v>
      </c>
      <c r="D890">
        <v>48935</v>
      </c>
      <c r="E890">
        <v>505</v>
      </c>
      <c r="F890">
        <f t="shared" si="67"/>
        <v>4</v>
      </c>
      <c r="I890" t="s">
        <v>37</v>
      </c>
      <c r="J890" t="s">
        <v>38</v>
      </c>
      <c r="L890" t="str">
        <f t="shared" si="64"/>
        <v>2020/02/07</v>
      </c>
      <c r="M890" t="str">
        <f t="shared" si="65"/>
        <v>2020/02/11</v>
      </c>
      <c r="N890" t="s">
        <v>9</v>
      </c>
    </row>
    <row r="891" spans="1:14" x14ac:dyDescent="0.2">
      <c r="C891" t="s">
        <v>6</v>
      </c>
      <c r="D891">
        <v>538830</v>
      </c>
      <c r="E891">
        <v>5153</v>
      </c>
      <c r="F891">
        <f t="shared" si="67"/>
        <v>10</v>
      </c>
      <c r="I891" t="s">
        <v>133</v>
      </c>
      <c r="J891" t="s">
        <v>134</v>
      </c>
      <c r="L891" t="str">
        <f t="shared" si="64"/>
        <v>2020/02/22</v>
      </c>
      <c r="M891" t="str">
        <f t="shared" si="65"/>
        <v>2020/03/03</v>
      </c>
      <c r="N891" t="s">
        <v>9</v>
      </c>
    </row>
    <row r="892" spans="1:14" hidden="1" x14ac:dyDescent="0.2">
      <c r="C892" t="s">
        <v>39</v>
      </c>
      <c r="D892">
        <v>13002</v>
      </c>
      <c r="E892">
        <v>25</v>
      </c>
      <c r="F892">
        <f t="shared" si="67"/>
        <v>343</v>
      </c>
      <c r="I892" t="s">
        <v>83</v>
      </c>
      <c r="J892" t="s">
        <v>84</v>
      </c>
      <c r="L892" t="str">
        <f t="shared" si="64"/>
        <v>2020/01/24</v>
      </c>
      <c r="M892" t="str">
        <f t="shared" si="65"/>
        <v>2021/01/01</v>
      </c>
      <c r="N892" t="s">
        <v>41</v>
      </c>
    </row>
    <row r="893" spans="1:14" x14ac:dyDescent="0.2">
      <c r="C893" t="s">
        <v>6</v>
      </c>
      <c r="D893">
        <v>30186</v>
      </c>
      <c r="E893">
        <v>55</v>
      </c>
      <c r="F893">
        <f t="shared" si="67"/>
        <v>63</v>
      </c>
      <c r="I893" t="s">
        <v>18</v>
      </c>
      <c r="J893" t="s">
        <v>15</v>
      </c>
      <c r="L893" t="str">
        <f t="shared" si="64"/>
        <v>2020/01/29</v>
      </c>
      <c r="M893" t="str">
        <f t="shared" si="65"/>
        <v>2020/04/01</v>
      </c>
      <c r="N893" t="s">
        <v>9</v>
      </c>
    </row>
    <row r="894" spans="1:14" x14ac:dyDescent="0.2">
      <c r="C894" t="s">
        <v>6</v>
      </c>
      <c r="D894">
        <v>8183</v>
      </c>
      <c r="E894">
        <v>64</v>
      </c>
      <c r="F894">
        <f t="shared" si="67"/>
        <v>27</v>
      </c>
      <c r="I894" t="s">
        <v>90</v>
      </c>
      <c r="J894" t="s">
        <v>91</v>
      </c>
      <c r="L894" t="str">
        <f t="shared" si="64"/>
        <v>2020/02/06</v>
      </c>
      <c r="M894" t="str">
        <f t="shared" si="65"/>
        <v>2020/03/04</v>
      </c>
      <c r="N894" t="s">
        <v>9</v>
      </c>
    </row>
    <row r="895" spans="1:14" x14ac:dyDescent="0.2">
      <c r="C895" t="s">
        <v>6</v>
      </c>
      <c r="D895">
        <v>3808</v>
      </c>
      <c r="E895">
        <v>14</v>
      </c>
      <c r="F895">
        <f t="shared" si="67"/>
        <v>10</v>
      </c>
      <c r="I895" t="s">
        <v>140</v>
      </c>
      <c r="J895" t="s">
        <v>24</v>
      </c>
      <c r="L895" t="str">
        <f t="shared" si="64"/>
        <v>2020/02/23</v>
      </c>
      <c r="M895" t="str">
        <f t="shared" si="65"/>
        <v>2020/03/04</v>
      </c>
      <c r="N895" t="s">
        <v>9</v>
      </c>
    </row>
    <row r="896" spans="1:14" hidden="1" x14ac:dyDescent="0.2">
      <c r="C896" t="s">
        <v>10</v>
      </c>
      <c r="D896">
        <v>873</v>
      </c>
      <c r="E896">
        <v>0</v>
      </c>
      <c r="I896" t="s">
        <v>27</v>
      </c>
      <c r="L896" t="str">
        <f t="shared" si="64"/>
        <v>2020/01/17</v>
      </c>
      <c r="M896" t="e">
        <f t="shared" si="65"/>
        <v>#VALUE!</v>
      </c>
      <c r="N896" t="s">
        <v>28</v>
      </c>
    </row>
    <row r="897" spans="3:14" hidden="1" x14ac:dyDescent="0.2">
      <c r="C897" t="s">
        <v>10</v>
      </c>
      <c r="D897">
        <v>74938</v>
      </c>
      <c r="E897">
        <v>150</v>
      </c>
      <c r="F897">
        <f t="shared" ref="F897:F906" si="68">M897-L897</f>
        <v>4</v>
      </c>
      <c r="I897" t="s">
        <v>287</v>
      </c>
      <c r="J897" t="s">
        <v>288</v>
      </c>
      <c r="L897" t="str">
        <f t="shared" si="64"/>
        <v>2020/01/02</v>
      </c>
      <c r="M897" t="str">
        <f t="shared" si="65"/>
        <v>2020/01/06</v>
      </c>
      <c r="N897" t="s">
        <v>187</v>
      </c>
    </row>
    <row r="898" spans="3:14" x14ac:dyDescent="0.2">
      <c r="C898" t="s">
        <v>6</v>
      </c>
      <c r="D898">
        <v>102632</v>
      </c>
      <c r="E898">
        <v>1675</v>
      </c>
      <c r="F898">
        <f t="shared" si="68"/>
        <v>149</v>
      </c>
      <c r="I898" t="s">
        <v>211</v>
      </c>
      <c r="J898" t="s">
        <v>71</v>
      </c>
      <c r="L898" t="str">
        <f t="shared" si="64"/>
        <v>2019/09/12</v>
      </c>
      <c r="M898" t="str">
        <f t="shared" si="65"/>
        <v>2020/02/08</v>
      </c>
      <c r="N898" t="s">
        <v>9</v>
      </c>
    </row>
    <row r="899" spans="3:14" x14ac:dyDescent="0.2">
      <c r="C899" t="s">
        <v>6</v>
      </c>
      <c r="D899">
        <v>212849</v>
      </c>
      <c r="E899">
        <v>292</v>
      </c>
      <c r="F899">
        <f t="shared" si="68"/>
        <v>31</v>
      </c>
      <c r="I899" t="s">
        <v>45</v>
      </c>
      <c r="J899" t="s">
        <v>46</v>
      </c>
      <c r="L899" t="str">
        <f t="shared" ref="L899:L962" si="69">LEFT(I899,FIND(" ",I899)-1)</f>
        <v>2020/01/01</v>
      </c>
      <c r="M899" t="str">
        <f t="shared" ref="M899:M962" si="70">LEFT(J899,FIND(" ",J899)-1)</f>
        <v>2020/02/01</v>
      </c>
      <c r="N899" t="s">
        <v>9</v>
      </c>
    </row>
    <row r="900" spans="3:14" hidden="1" x14ac:dyDescent="0.2">
      <c r="C900" t="s">
        <v>6</v>
      </c>
      <c r="D900">
        <v>146559</v>
      </c>
      <c r="E900">
        <v>561</v>
      </c>
      <c r="F900">
        <f t="shared" si="68"/>
        <v>32</v>
      </c>
      <c r="I900" t="s">
        <v>424</v>
      </c>
      <c r="J900" t="s">
        <v>425</v>
      </c>
      <c r="L900" t="str">
        <f t="shared" si="69"/>
        <v>2020/01/28</v>
      </c>
      <c r="M900" t="str">
        <f t="shared" si="70"/>
        <v>2020/02/29</v>
      </c>
      <c r="N900" t="s">
        <v>87</v>
      </c>
    </row>
    <row r="901" spans="3:14" hidden="1" x14ac:dyDescent="0.2">
      <c r="C901" t="s">
        <v>56</v>
      </c>
      <c r="D901">
        <v>392656</v>
      </c>
      <c r="E901">
        <v>2651</v>
      </c>
      <c r="F901">
        <f t="shared" si="68"/>
        <v>13</v>
      </c>
      <c r="I901" t="s">
        <v>241</v>
      </c>
      <c r="J901" t="s">
        <v>89</v>
      </c>
      <c r="L901" t="str">
        <f t="shared" si="69"/>
        <v>2020/01/15</v>
      </c>
      <c r="M901" t="str">
        <f t="shared" si="70"/>
        <v>2020/01/28</v>
      </c>
      <c r="N901" t="s">
        <v>59</v>
      </c>
    </row>
    <row r="902" spans="3:14" x14ac:dyDescent="0.2">
      <c r="C902" t="s">
        <v>6</v>
      </c>
      <c r="D902">
        <v>50827</v>
      </c>
      <c r="E902">
        <v>129</v>
      </c>
      <c r="F902">
        <f t="shared" si="68"/>
        <v>32</v>
      </c>
      <c r="I902" t="s">
        <v>72</v>
      </c>
      <c r="J902" t="s">
        <v>104</v>
      </c>
      <c r="L902" t="str">
        <f t="shared" si="69"/>
        <v>2020/01/03</v>
      </c>
      <c r="M902" t="str">
        <f t="shared" si="70"/>
        <v>2020/02/04</v>
      </c>
      <c r="N902" t="s">
        <v>9</v>
      </c>
    </row>
    <row r="903" spans="3:14" hidden="1" x14ac:dyDescent="0.2">
      <c r="C903" t="s">
        <v>10</v>
      </c>
      <c r="D903">
        <v>139223</v>
      </c>
      <c r="E903">
        <v>80</v>
      </c>
      <c r="F903">
        <f t="shared" si="68"/>
        <v>1</v>
      </c>
      <c r="I903" t="s">
        <v>426</v>
      </c>
      <c r="J903" t="s">
        <v>427</v>
      </c>
      <c r="L903" t="str">
        <f t="shared" si="69"/>
        <v>2020/02/07</v>
      </c>
      <c r="M903" t="str">
        <f t="shared" si="70"/>
        <v>2020/02/08</v>
      </c>
      <c r="N903" t="s">
        <v>28</v>
      </c>
    </row>
    <row r="904" spans="3:14" x14ac:dyDescent="0.2">
      <c r="C904" t="s">
        <v>6</v>
      </c>
      <c r="D904">
        <v>36442</v>
      </c>
      <c r="E904">
        <v>42</v>
      </c>
      <c r="F904">
        <f t="shared" si="68"/>
        <v>26</v>
      </c>
      <c r="I904" t="s">
        <v>81</v>
      </c>
      <c r="J904" t="s">
        <v>82</v>
      </c>
      <c r="L904" t="str">
        <f t="shared" si="69"/>
        <v>2020/01/06</v>
      </c>
      <c r="M904" t="str">
        <f t="shared" si="70"/>
        <v>2020/02/01</v>
      </c>
      <c r="N904" t="s">
        <v>9</v>
      </c>
    </row>
    <row r="905" spans="3:14" hidden="1" x14ac:dyDescent="0.2">
      <c r="C905" t="s">
        <v>10</v>
      </c>
      <c r="D905">
        <v>64732</v>
      </c>
      <c r="E905">
        <v>135</v>
      </c>
      <c r="F905">
        <f t="shared" si="68"/>
        <v>4</v>
      </c>
      <c r="I905" t="s">
        <v>287</v>
      </c>
      <c r="J905" t="s">
        <v>288</v>
      </c>
      <c r="L905" t="str">
        <f t="shared" si="69"/>
        <v>2020/01/02</v>
      </c>
      <c r="M905" t="str">
        <f t="shared" si="70"/>
        <v>2020/01/06</v>
      </c>
      <c r="N905" t="s">
        <v>187</v>
      </c>
    </row>
    <row r="906" spans="3:14" x14ac:dyDescent="0.2">
      <c r="C906" t="s">
        <v>6</v>
      </c>
      <c r="D906">
        <v>41551</v>
      </c>
      <c r="E906">
        <v>100</v>
      </c>
      <c r="F906">
        <f t="shared" si="68"/>
        <v>4</v>
      </c>
      <c r="I906" t="s">
        <v>428</v>
      </c>
      <c r="J906" t="s">
        <v>429</v>
      </c>
      <c r="L906" t="str">
        <f t="shared" si="69"/>
        <v>2020/02/04</v>
      </c>
      <c r="M906" t="str">
        <f t="shared" si="70"/>
        <v>2020/02/08</v>
      </c>
      <c r="N906" t="s">
        <v>9</v>
      </c>
    </row>
    <row r="907" spans="3:14" hidden="1" x14ac:dyDescent="0.2">
      <c r="C907" t="s">
        <v>6</v>
      </c>
      <c r="D907">
        <v>3980</v>
      </c>
      <c r="E907">
        <v>10</v>
      </c>
      <c r="I907" t="s">
        <v>32</v>
      </c>
      <c r="L907" t="str">
        <f t="shared" si="69"/>
        <v>2020/01/26</v>
      </c>
      <c r="M907" t="e">
        <f t="shared" si="70"/>
        <v>#VALUE!</v>
      </c>
      <c r="N907" t="s">
        <v>9</v>
      </c>
    </row>
    <row r="908" spans="3:14" hidden="1" x14ac:dyDescent="0.2">
      <c r="C908" t="s">
        <v>56</v>
      </c>
      <c r="D908">
        <v>288474</v>
      </c>
      <c r="E908">
        <v>1978</v>
      </c>
      <c r="F908">
        <f>M908-L908</f>
        <v>13</v>
      </c>
      <c r="I908" t="s">
        <v>241</v>
      </c>
      <c r="J908" t="s">
        <v>89</v>
      </c>
      <c r="L908" t="str">
        <f t="shared" si="69"/>
        <v>2020/01/15</v>
      </c>
      <c r="M908" t="str">
        <f t="shared" si="70"/>
        <v>2020/01/28</v>
      </c>
      <c r="N908" t="s">
        <v>59</v>
      </c>
    </row>
    <row r="909" spans="3:14" hidden="1" x14ac:dyDescent="0.2">
      <c r="C909" t="s">
        <v>6</v>
      </c>
      <c r="D909">
        <v>3639383</v>
      </c>
      <c r="E909">
        <v>6336</v>
      </c>
      <c r="I909" t="s">
        <v>430</v>
      </c>
      <c r="L909" t="str">
        <f t="shared" si="69"/>
        <v>2020/01/08</v>
      </c>
      <c r="M909" t="e">
        <f t="shared" si="70"/>
        <v>#VALUE!</v>
      </c>
      <c r="N909" t="s">
        <v>9</v>
      </c>
    </row>
    <row r="910" spans="3:14" x14ac:dyDescent="0.2">
      <c r="C910" t="s">
        <v>6</v>
      </c>
      <c r="D910">
        <v>148198</v>
      </c>
      <c r="E910">
        <v>203</v>
      </c>
      <c r="F910">
        <f>M910-L910</f>
        <v>31</v>
      </c>
      <c r="I910" t="s">
        <v>45</v>
      </c>
      <c r="J910" t="s">
        <v>46</v>
      </c>
      <c r="L910" t="str">
        <f t="shared" si="69"/>
        <v>2020/01/01</v>
      </c>
      <c r="M910" t="str">
        <f t="shared" si="70"/>
        <v>2020/02/01</v>
      </c>
      <c r="N910" t="s">
        <v>9</v>
      </c>
    </row>
    <row r="911" spans="3:14" x14ac:dyDescent="0.2">
      <c r="C911" t="s">
        <v>6</v>
      </c>
      <c r="D911">
        <v>34537</v>
      </c>
      <c r="E911">
        <v>250</v>
      </c>
      <c r="F911">
        <f>M911-L911</f>
        <v>1</v>
      </c>
      <c r="I911" t="s">
        <v>431</v>
      </c>
      <c r="J911" t="s">
        <v>217</v>
      </c>
      <c r="L911" t="str">
        <f t="shared" si="69"/>
        <v>2020/01/31</v>
      </c>
      <c r="M911" t="str">
        <f t="shared" si="70"/>
        <v>2020/02/01</v>
      </c>
      <c r="N911" t="s">
        <v>9</v>
      </c>
    </row>
    <row r="912" spans="3:14" hidden="1" x14ac:dyDescent="0.2">
      <c r="C912" t="s">
        <v>6</v>
      </c>
      <c r="D912">
        <v>440754</v>
      </c>
      <c r="E912">
        <v>509</v>
      </c>
      <c r="I912" t="s">
        <v>432</v>
      </c>
      <c r="L912" t="str">
        <f t="shared" si="69"/>
        <v>2020/02/12</v>
      </c>
      <c r="M912" t="e">
        <f t="shared" si="70"/>
        <v>#VALUE!</v>
      </c>
      <c r="N912" t="s">
        <v>9</v>
      </c>
    </row>
    <row r="913" spans="3:14" hidden="1" x14ac:dyDescent="0.2">
      <c r="C913" t="s">
        <v>10</v>
      </c>
      <c r="D913">
        <v>985769</v>
      </c>
      <c r="E913">
        <v>459</v>
      </c>
      <c r="F913">
        <f>M913-L913</f>
        <v>45</v>
      </c>
      <c r="I913" t="s">
        <v>309</v>
      </c>
      <c r="J913" t="s">
        <v>77</v>
      </c>
      <c r="L913" t="str">
        <f t="shared" si="69"/>
        <v>2020/01/16</v>
      </c>
      <c r="M913" t="str">
        <f t="shared" si="70"/>
        <v>2020/03/01</v>
      </c>
      <c r="N913" t="s">
        <v>78</v>
      </c>
    </row>
    <row r="914" spans="3:14" x14ac:dyDescent="0.2">
      <c r="C914" t="s">
        <v>6</v>
      </c>
      <c r="D914">
        <v>18104</v>
      </c>
      <c r="E914">
        <v>32</v>
      </c>
      <c r="F914">
        <f>M914-L914</f>
        <v>226</v>
      </c>
      <c r="I914" t="s">
        <v>21</v>
      </c>
      <c r="J914" t="s">
        <v>22</v>
      </c>
      <c r="L914" t="str">
        <f t="shared" si="69"/>
        <v>2019/10/18</v>
      </c>
      <c r="M914" t="str">
        <f t="shared" si="70"/>
        <v>2020/05/31</v>
      </c>
      <c r="N914" t="s">
        <v>9</v>
      </c>
    </row>
    <row r="915" spans="3:14" x14ac:dyDescent="0.2">
      <c r="C915" t="s">
        <v>6</v>
      </c>
      <c r="D915">
        <v>519</v>
      </c>
      <c r="E915">
        <v>5</v>
      </c>
      <c r="F915">
        <f>M915-L915</f>
        <v>4</v>
      </c>
      <c r="I915" t="s">
        <v>37</v>
      </c>
      <c r="J915" t="s">
        <v>38</v>
      </c>
      <c r="L915" t="str">
        <f t="shared" si="69"/>
        <v>2020/02/07</v>
      </c>
      <c r="M915" t="str">
        <f t="shared" si="70"/>
        <v>2020/02/11</v>
      </c>
      <c r="N915" t="s">
        <v>9</v>
      </c>
    </row>
    <row r="916" spans="3:14" x14ac:dyDescent="0.2">
      <c r="C916" t="s">
        <v>6</v>
      </c>
      <c r="D916">
        <v>653494</v>
      </c>
      <c r="E916">
        <v>6238</v>
      </c>
      <c r="F916">
        <f>M916-L916</f>
        <v>63</v>
      </c>
      <c r="I916" t="s">
        <v>18</v>
      </c>
      <c r="J916" t="s">
        <v>15</v>
      </c>
      <c r="L916" t="str">
        <f t="shared" si="69"/>
        <v>2020/01/29</v>
      </c>
      <c r="M916" t="str">
        <f t="shared" si="70"/>
        <v>2020/04/01</v>
      </c>
      <c r="N916" t="s">
        <v>9</v>
      </c>
    </row>
    <row r="917" spans="3:14" hidden="1" x14ac:dyDescent="0.2">
      <c r="C917" t="s">
        <v>10</v>
      </c>
      <c r="D917">
        <v>597228</v>
      </c>
      <c r="E917">
        <v>1083</v>
      </c>
      <c r="F917">
        <f>M917-L917</f>
        <v>11</v>
      </c>
      <c r="I917" t="s">
        <v>33</v>
      </c>
      <c r="J917" t="s">
        <v>34</v>
      </c>
      <c r="L917" t="str">
        <f t="shared" si="69"/>
        <v>2020/02/03</v>
      </c>
      <c r="M917" t="str">
        <f t="shared" si="70"/>
        <v>2020/02/14</v>
      </c>
      <c r="N917" t="s">
        <v>35</v>
      </c>
    </row>
    <row r="918" spans="3:14" hidden="1" x14ac:dyDescent="0.2">
      <c r="C918" t="s">
        <v>10</v>
      </c>
      <c r="D918">
        <v>687</v>
      </c>
      <c r="E918">
        <v>0</v>
      </c>
      <c r="I918" t="s">
        <v>36</v>
      </c>
      <c r="L918" t="str">
        <f t="shared" si="69"/>
        <v>2020/01/17</v>
      </c>
      <c r="M918" t="e">
        <f t="shared" si="70"/>
        <v>#VALUE!</v>
      </c>
      <c r="N918" t="s">
        <v>28</v>
      </c>
    </row>
    <row r="919" spans="3:14" hidden="1" x14ac:dyDescent="0.2">
      <c r="C919" t="s">
        <v>39</v>
      </c>
      <c r="D919">
        <v>1648278</v>
      </c>
      <c r="E919">
        <v>2500</v>
      </c>
      <c r="F919">
        <f>M919-L919</f>
        <v>42</v>
      </c>
      <c r="I919" t="s">
        <v>259</v>
      </c>
      <c r="J919" t="s">
        <v>408</v>
      </c>
      <c r="L919" t="str">
        <f t="shared" si="69"/>
        <v>2020/01/06</v>
      </c>
      <c r="M919" t="str">
        <f t="shared" si="70"/>
        <v>2020/02/17</v>
      </c>
      <c r="N919" t="s">
        <v>41</v>
      </c>
    </row>
    <row r="920" spans="3:14" hidden="1" x14ac:dyDescent="0.2">
      <c r="C920" t="s">
        <v>6</v>
      </c>
      <c r="D920">
        <v>129699</v>
      </c>
      <c r="E920">
        <v>285</v>
      </c>
      <c r="I920" t="s">
        <v>433</v>
      </c>
      <c r="L920" t="str">
        <f t="shared" si="69"/>
        <v>2020/02/19</v>
      </c>
      <c r="M920" t="e">
        <f t="shared" si="70"/>
        <v>#VALUE!</v>
      </c>
      <c r="N920" t="s">
        <v>9</v>
      </c>
    </row>
    <row r="921" spans="3:14" x14ac:dyDescent="0.2">
      <c r="C921" t="s">
        <v>6</v>
      </c>
      <c r="D921">
        <v>606461</v>
      </c>
      <c r="E921">
        <v>1441</v>
      </c>
      <c r="F921">
        <f>M921-L921</f>
        <v>31</v>
      </c>
      <c r="I921" t="s">
        <v>45</v>
      </c>
      <c r="J921" t="s">
        <v>46</v>
      </c>
      <c r="L921" t="str">
        <f t="shared" si="69"/>
        <v>2020/01/01</v>
      </c>
      <c r="M921" t="str">
        <f t="shared" si="70"/>
        <v>2020/02/01</v>
      </c>
      <c r="N921" t="s">
        <v>9</v>
      </c>
    </row>
    <row r="922" spans="3:14" hidden="1" x14ac:dyDescent="0.2">
      <c r="C922" t="s">
        <v>6</v>
      </c>
      <c r="D922">
        <v>940</v>
      </c>
      <c r="E922">
        <v>2</v>
      </c>
      <c r="I922" t="s">
        <v>434</v>
      </c>
      <c r="L922" t="str">
        <f t="shared" si="69"/>
        <v>2020/01/18</v>
      </c>
      <c r="M922" t="e">
        <f t="shared" si="70"/>
        <v>#VALUE!</v>
      </c>
      <c r="N922" t="s">
        <v>9</v>
      </c>
    </row>
    <row r="923" spans="3:14" x14ac:dyDescent="0.2">
      <c r="C923" t="s">
        <v>6</v>
      </c>
      <c r="D923">
        <v>2027986</v>
      </c>
      <c r="E923">
        <v>4892</v>
      </c>
      <c r="F923">
        <f>M923-L923</f>
        <v>29</v>
      </c>
      <c r="I923" t="s">
        <v>170</v>
      </c>
      <c r="J923" t="s">
        <v>171</v>
      </c>
      <c r="L923" t="str">
        <f t="shared" si="69"/>
        <v>2020/02/01</v>
      </c>
      <c r="M923" t="str">
        <f t="shared" si="70"/>
        <v>2020/03/01</v>
      </c>
      <c r="N923" t="s">
        <v>9</v>
      </c>
    </row>
    <row r="924" spans="3:14" x14ac:dyDescent="0.2">
      <c r="C924" t="s">
        <v>6</v>
      </c>
      <c r="D924">
        <v>181242</v>
      </c>
      <c r="E924">
        <v>457</v>
      </c>
      <c r="F924">
        <f>M924-L924</f>
        <v>32</v>
      </c>
      <c r="I924" t="s">
        <v>72</v>
      </c>
      <c r="J924" t="s">
        <v>104</v>
      </c>
      <c r="L924" t="str">
        <f t="shared" si="69"/>
        <v>2020/01/03</v>
      </c>
      <c r="M924" t="str">
        <f t="shared" si="70"/>
        <v>2020/02/04</v>
      </c>
      <c r="N924" t="s">
        <v>9</v>
      </c>
    </row>
    <row r="925" spans="3:14" x14ac:dyDescent="0.2">
      <c r="C925" t="s">
        <v>6</v>
      </c>
      <c r="D925">
        <v>67642</v>
      </c>
      <c r="E925">
        <v>120</v>
      </c>
      <c r="F925">
        <f>M925-L925</f>
        <v>40</v>
      </c>
      <c r="I925" t="s">
        <v>72</v>
      </c>
      <c r="J925" t="s">
        <v>73</v>
      </c>
      <c r="L925" t="str">
        <f t="shared" si="69"/>
        <v>2020/01/03</v>
      </c>
      <c r="M925" t="str">
        <f t="shared" si="70"/>
        <v>2020/02/12</v>
      </c>
      <c r="N925" t="s">
        <v>9</v>
      </c>
    </row>
    <row r="926" spans="3:14" x14ac:dyDescent="0.2">
      <c r="C926" t="s">
        <v>6</v>
      </c>
      <c r="D926">
        <v>7793725</v>
      </c>
      <c r="E926">
        <v>5000</v>
      </c>
      <c r="F926">
        <f>M926-L926</f>
        <v>7</v>
      </c>
      <c r="I926" t="s">
        <v>435</v>
      </c>
      <c r="J926" t="s">
        <v>436</v>
      </c>
      <c r="L926" t="str">
        <f t="shared" si="69"/>
        <v>2020/02/05</v>
      </c>
      <c r="M926" t="str">
        <f t="shared" si="70"/>
        <v>2020/02/12</v>
      </c>
      <c r="N926" t="s">
        <v>9</v>
      </c>
    </row>
    <row r="927" spans="3:14" hidden="1" x14ac:dyDescent="0.2">
      <c r="C927" t="s">
        <v>6</v>
      </c>
      <c r="D927">
        <v>17053</v>
      </c>
      <c r="E927">
        <v>49</v>
      </c>
      <c r="I927" t="s">
        <v>110</v>
      </c>
      <c r="L927" t="str">
        <f t="shared" si="69"/>
        <v>2020/02/03</v>
      </c>
      <c r="M927" t="e">
        <f t="shared" si="70"/>
        <v>#VALUE!</v>
      </c>
      <c r="N927" t="s">
        <v>9</v>
      </c>
    </row>
    <row r="928" spans="3:14" hidden="1" x14ac:dyDescent="0.2">
      <c r="C928" t="s">
        <v>6</v>
      </c>
      <c r="D928">
        <v>1091</v>
      </c>
      <c r="E928">
        <v>4</v>
      </c>
      <c r="I928" t="s">
        <v>131</v>
      </c>
      <c r="L928" t="str">
        <f t="shared" si="69"/>
        <v>2020/01/24</v>
      </c>
      <c r="M928" t="e">
        <f t="shared" si="70"/>
        <v>#VALUE!</v>
      </c>
      <c r="N928" t="s">
        <v>9</v>
      </c>
    </row>
    <row r="929" spans="1:14" hidden="1" x14ac:dyDescent="0.2">
      <c r="C929" t="s">
        <v>6</v>
      </c>
      <c r="D929">
        <v>325599</v>
      </c>
      <c r="E929">
        <v>373</v>
      </c>
      <c r="I929" t="s">
        <v>437</v>
      </c>
      <c r="L929" t="str">
        <f t="shared" si="69"/>
        <v>2020/02/07</v>
      </c>
      <c r="M929" t="e">
        <f t="shared" si="70"/>
        <v>#VALUE!</v>
      </c>
      <c r="N929" t="s">
        <v>9</v>
      </c>
    </row>
    <row r="930" spans="1:14" x14ac:dyDescent="0.2">
      <c r="C930" t="s">
        <v>6</v>
      </c>
      <c r="D930">
        <v>644742</v>
      </c>
      <c r="E930">
        <v>782</v>
      </c>
      <c r="F930">
        <f>M930-L930</f>
        <v>84</v>
      </c>
      <c r="I930" t="s">
        <v>14</v>
      </c>
      <c r="J930" t="s">
        <v>15</v>
      </c>
      <c r="L930" t="str">
        <f t="shared" si="69"/>
        <v>2020/01/08</v>
      </c>
      <c r="M930" t="str">
        <f t="shared" si="70"/>
        <v>2020/04/01</v>
      </c>
      <c r="N930" t="s">
        <v>9</v>
      </c>
    </row>
    <row r="931" spans="1:14" x14ac:dyDescent="0.2">
      <c r="C931" t="s">
        <v>6</v>
      </c>
      <c r="D931">
        <v>22686</v>
      </c>
      <c r="E931">
        <v>87</v>
      </c>
      <c r="F931">
        <f>M931-L931</f>
        <v>10</v>
      </c>
      <c r="I931" t="s">
        <v>140</v>
      </c>
      <c r="J931" t="s">
        <v>24</v>
      </c>
      <c r="L931" t="str">
        <f t="shared" si="69"/>
        <v>2020/02/23</v>
      </c>
      <c r="M931" t="str">
        <f t="shared" si="70"/>
        <v>2020/03/04</v>
      </c>
      <c r="N931" t="s">
        <v>9</v>
      </c>
    </row>
    <row r="932" spans="1:14" x14ac:dyDescent="0.2">
      <c r="C932" t="s">
        <v>6</v>
      </c>
      <c r="D932">
        <v>524194</v>
      </c>
      <c r="E932">
        <v>1346</v>
      </c>
      <c r="F932">
        <f>M932-L932</f>
        <v>84</v>
      </c>
      <c r="I932" t="s">
        <v>14</v>
      </c>
      <c r="J932" t="s">
        <v>15</v>
      </c>
      <c r="L932" t="str">
        <f t="shared" si="69"/>
        <v>2020/01/08</v>
      </c>
      <c r="M932" t="str">
        <f t="shared" si="70"/>
        <v>2020/04/01</v>
      </c>
      <c r="N932" t="s">
        <v>9</v>
      </c>
    </row>
    <row r="933" spans="1:14" hidden="1" x14ac:dyDescent="0.2">
      <c r="C933" t="s">
        <v>10</v>
      </c>
      <c r="D933">
        <v>1780</v>
      </c>
      <c r="E933">
        <v>1</v>
      </c>
      <c r="I933" t="s">
        <v>36</v>
      </c>
      <c r="L933" t="str">
        <f t="shared" si="69"/>
        <v>2020/01/17</v>
      </c>
      <c r="M933" t="e">
        <f t="shared" si="70"/>
        <v>#VALUE!</v>
      </c>
      <c r="N933" t="s">
        <v>28</v>
      </c>
    </row>
    <row r="934" spans="1:14" x14ac:dyDescent="0.2">
      <c r="C934" t="s">
        <v>6</v>
      </c>
      <c r="D934">
        <v>21777</v>
      </c>
      <c r="E934">
        <v>32</v>
      </c>
      <c r="F934">
        <f>M934-L934</f>
        <v>-2</v>
      </c>
      <c r="I934" t="s">
        <v>79</v>
      </c>
      <c r="J934" t="s">
        <v>80</v>
      </c>
      <c r="L934" t="str">
        <f t="shared" si="69"/>
        <v>2020/01/03</v>
      </c>
      <c r="M934" t="str">
        <f t="shared" si="70"/>
        <v>2020/01/01</v>
      </c>
      <c r="N934" t="s">
        <v>9</v>
      </c>
    </row>
    <row r="935" spans="1:14" hidden="1" x14ac:dyDescent="0.2">
      <c r="C935" t="s">
        <v>6</v>
      </c>
      <c r="D935">
        <v>431</v>
      </c>
      <c r="E935">
        <v>0</v>
      </c>
      <c r="I935" t="s">
        <v>188</v>
      </c>
      <c r="L935" t="str">
        <f t="shared" si="69"/>
        <v>2020/01/20</v>
      </c>
      <c r="M935" t="e">
        <f t="shared" si="70"/>
        <v>#VALUE!</v>
      </c>
      <c r="N935" t="s">
        <v>9</v>
      </c>
    </row>
    <row r="936" spans="1:14" hidden="1" x14ac:dyDescent="0.2">
      <c r="A936" s="1"/>
      <c r="C936" t="s">
        <v>10</v>
      </c>
      <c r="D936">
        <v>1390</v>
      </c>
      <c r="E936">
        <v>0</v>
      </c>
      <c r="I936" t="s">
        <v>36</v>
      </c>
      <c r="L936" t="str">
        <f t="shared" si="69"/>
        <v>2020/01/17</v>
      </c>
      <c r="M936" t="e">
        <f t="shared" si="70"/>
        <v>#VALUE!</v>
      </c>
      <c r="N936" t="s">
        <v>28</v>
      </c>
    </row>
    <row r="937" spans="1:14" x14ac:dyDescent="0.2">
      <c r="C937" t="s">
        <v>6</v>
      </c>
      <c r="D937">
        <v>299661</v>
      </c>
      <c r="E937">
        <v>500</v>
      </c>
      <c r="F937">
        <f t="shared" ref="F937:F943" si="71">M937-L937</f>
        <v>7</v>
      </c>
      <c r="I937" t="s">
        <v>438</v>
      </c>
      <c r="J937" t="s">
        <v>439</v>
      </c>
      <c r="L937" t="str">
        <f t="shared" si="69"/>
        <v>2020/01/25</v>
      </c>
      <c r="M937" t="str">
        <f t="shared" si="70"/>
        <v>2020/02/01</v>
      </c>
      <c r="N937" t="s">
        <v>9</v>
      </c>
    </row>
    <row r="938" spans="1:14" hidden="1" x14ac:dyDescent="0.2">
      <c r="C938" t="s">
        <v>56</v>
      </c>
      <c r="D938">
        <v>34193</v>
      </c>
      <c r="E938">
        <v>34</v>
      </c>
      <c r="F938">
        <f t="shared" si="71"/>
        <v>41</v>
      </c>
      <c r="I938" t="s">
        <v>57</v>
      </c>
      <c r="J938" t="s">
        <v>58</v>
      </c>
      <c r="L938" t="str">
        <f t="shared" si="69"/>
        <v>2020/01/21</v>
      </c>
      <c r="M938" t="str">
        <f t="shared" si="70"/>
        <v>2020/03/02</v>
      </c>
      <c r="N938" t="s">
        <v>59</v>
      </c>
    </row>
    <row r="939" spans="1:14" x14ac:dyDescent="0.2">
      <c r="C939" t="s">
        <v>6</v>
      </c>
      <c r="D939">
        <v>326247</v>
      </c>
      <c r="E939">
        <v>592</v>
      </c>
      <c r="F939">
        <f t="shared" si="71"/>
        <v>32</v>
      </c>
      <c r="I939" t="s">
        <v>72</v>
      </c>
      <c r="J939" t="s">
        <v>104</v>
      </c>
      <c r="L939" t="str">
        <f t="shared" si="69"/>
        <v>2020/01/03</v>
      </c>
      <c r="M939" t="str">
        <f t="shared" si="70"/>
        <v>2020/02/04</v>
      </c>
      <c r="N939" t="s">
        <v>9</v>
      </c>
    </row>
    <row r="940" spans="1:14" x14ac:dyDescent="0.2">
      <c r="C940" t="s">
        <v>6</v>
      </c>
      <c r="D940">
        <v>1442405</v>
      </c>
      <c r="E940">
        <v>1754</v>
      </c>
      <c r="F940">
        <f t="shared" si="71"/>
        <v>84</v>
      </c>
      <c r="I940" t="s">
        <v>14</v>
      </c>
      <c r="J940" t="s">
        <v>15</v>
      </c>
      <c r="L940" t="str">
        <f t="shared" si="69"/>
        <v>2020/01/08</v>
      </c>
      <c r="M940" t="str">
        <f t="shared" si="70"/>
        <v>2020/04/01</v>
      </c>
      <c r="N940" t="s">
        <v>9</v>
      </c>
    </row>
    <row r="941" spans="1:14" x14ac:dyDescent="0.2">
      <c r="C941" t="s">
        <v>6</v>
      </c>
      <c r="D941">
        <v>123822</v>
      </c>
      <c r="E941">
        <v>325</v>
      </c>
      <c r="F941">
        <f t="shared" si="71"/>
        <v>12</v>
      </c>
      <c r="I941" t="s">
        <v>440</v>
      </c>
      <c r="J941" t="s">
        <v>441</v>
      </c>
      <c r="L941" t="str">
        <f t="shared" si="69"/>
        <v>2020/01/30</v>
      </c>
      <c r="M941" t="str">
        <f t="shared" si="70"/>
        <v>2020/02/11</v>
      </c>
      <c r="N941" t="s">
        <v>9</v>
      </c>
    </row>
    <row r="942" spans="1:14" x14ac:dyDescent="0.2">
      <c r="C942" t="s">
        <v>6</v>
      </c>
      <c r="D942">
        <v>59456</v>
      </c>
      <c r="E942">
        <v>150</v>
      </c>
      <c r="F942">
        <f t="shared" si="71"/>
        <v>7</v>
      </c>
      <c r="I942" t="s">
        <v>442</v>
      </c>
      <c r="J942" t="s">
        <v>443</v>
      </c>
      <c r="L942" t="str">
        <f t="shared" si="69"/>
        <v>2020/02/04</v>
      </c>
      <c r="M942" t="str">
        <f t="shared" si="70"/>
        <v>2020/02/11</v>
      </c>
      <c r="N942" t="s">
        <v>9</v>
      </c>
    </row>
    <row r="943" spans="1:14" x14ac:dyDescent="0.2">
      <c r="C943" t="s">
        <v>6</v>
      </c>
      <c r="D943">
        <v>2088155</v>
      </c>
      <c r="E943">
        <v>6242</v>
      </c>
      <c r="F943">
        <f t="shared" si="71"/>
        <v>29</v>
      </c>
      <c r="I943" t="s">
        <v>170</v>
      </c>
      <c r="J943" t="s">
        <v>171</v>
      </c>
      <c r="L943" t="str">
        <f t="shared" si="69"/>
        <v>2020/02/01</v>
      </c>
      <c r="M943" t="str">
        <f t="shared" si="70"/>
        <v>2020/03/01</v>
      </c>
      <c r="N943" t="s">
        <v>9</v>
      </c>
    </row>
    <row r="944" spans="1:14" hidden="1" x14ac:dyDescent="0.2">
      <c r="C944" t="s">
        <v>39</v>
      </c>
      <c r="D944">
        <v>65127</v>
      </c>
      <c r="E944">
        <v>163</v>
      </c>
      <c r="I944" t="s">
        <v>40</v>
      </c>
      <c r="L944" t="str">
        <f t="shared" si="69"/>
        <v>2020/02/01</v>
      </c>
      <c r="M944" t="e">
        <f t="shared" si="70"/>
        <v>#VALUE!</v>
      </c>
      <c r="N944" t="s">
        <v>41</v>
      </c>
    </row>
    <row r="945" spans="1:14" x14ac:dyDescent="0.2">
      <c r="C945" t="s">
        <v>6</v>
      </c>
      <c r="D945">
        <v>12906</v>
      </c>
      <c r="E945">
        <v>117</v>
      </c>
      <c r="F945">
        <f>M945-L945</f>
        <v>27</v>
      </c>
      <c r="I945" t="s">
        <v>47</v>
      </c>
      <c r="J945" t="s">
        <v>8</v>
      </c>
      <c r="L945" t="str">
        <f t="shared" si="69"/>
        <v>2020/02/06</v>
      </c>
      <c r="M945" t="str">
        <f t="shared" si="70"/>
        <v>2020/03/04</v>
      </c>
      <c r="N945" t="s">
        <v>9</v>
      </c>
    </row>
    <row r="946" spans="1:14" x14ac:dyDescent="0.2">
      <c r="C946" t="s">
        <v>6</v>
      </c>
      <c r="D946">
        <v>20033</v>
      </c>
      <c r="E946">
        <v>20</v>
      </c>
      <c r="F946">
        <f>M946-L946</f>
        <v>1</v>
      </c>
      <c r="I946" t="s">
        <v>444</v>
      </c>
      <c r="J946" t="s">
        <v>445</v>
      </c>
      <c r="L946" t="str">
        <f t="shared" si="69"/>
        <v>2020/02/24</v>
      </c>
      <c r="M946" t="str">
        <f t="shared" si="70"/>
        <v>2020/02/25</v>
      </c>
      <c r="N946" t="s">
        <v>9</v>
      </c>
    </row>
    <row r="947" spans="1:14" x14ac:dyDescent="0.2">
      <c r="C947" t="s">
        <v>6</v>
      </c>
      <c r="D947">
        <v>3391</v>
      </c>
      <c r="E947">
        <v>32</v>
      </c>
      <c r="F947">
        <f>M947-L947</f>
        <v>27</v>
      </c>
      <c r="I947" t="s">
        <v>90</v>
      </c>
      <c r="J947" t="s">
        <v>91</v>
      </c>
      <c r="L947" t="str">
        <f t="shared" si="69"/>
        <v>2020/02/06</v>
      </c>
      <c r="M947" t="str">
        <f t="shared" si="70"/>
        <v>2020/03/04</v>
      </c>
      <c r="N947" t="s">
        <v>9</v>
      </c>
    </row>
    <row r="948" spans="1:14" x14ac:dyDescent="0.2">
      <c r="C948" t="s">
        <v>6</v>
      </c>
      <c r="D948">
        <v>1811479</v>
      </c>
      <c r="E948">
        <v>17459</v>
      </c>
      <c r="F948">
        <f>M948-L948</f>
        <v>8</v>
      </c>
      <c r="I948" t="s">
        <v>62</v>
      </c>
      <c r="J948" t="s">
        <v>63</v>
      </c>
      <c r="L948" t="str">
        <f t="shared" si="69"/>
        <v>2020/02/08</v>
      </c>
      <c r="M948" t="str">
        <f t="shared" si="70"/>
        <v>2020/02/16</v>
      </c>
      <c r="N948" t="s">
        <v>9</v>
      </c>
    </row>
    <row r="949" spans="1:14" hidden="1" x14ac:dyDescent="0.2">
      <c r="C949" t="s">
        <v>39</v>
      </c>
      <c r="D949">
        <v>50114</v>
      </c>
      <c r="E949">
        <v>162</v>
      </c>
      <c r="F949">
        <f>M949-L949</f>
        <v>343</v>
      </c>
      <c r="I949" t="s">
        <v>83</v>
      </c>
      <c r="J949" t="s">
        <v>84</v>
      </c>
      <c r="L949" t="str">
        <f t="shared" si="69"/>
        <v>2020/01/24</v>
      </c>
      <c r="M949" t="str">
        <f t="shared" si="70"/>
        <v>2021/01/01</v>
      </c>
      <c r="N949" t="s">
        <v>41</v>
      </c>
    </row>
    <row r="950" spans="1:14" hidden="1" x14ac:dyDescent="0.2">
      <c r="A950" s="1"/>
      <c r="C950" t="s">
        <v>6</v>
      </c>
      <c r="D950">
        <v>94493</v>
      </c>
      <c r="E950">
        <v>87</v>
      </c>
      <c r="I950" t="s">
        <v>446</v>
      </c>
      <c r="L950" t="str">
        <f t="shared" si="69"/>
        <v>2020/01/14</v>
      </c>
      <c r="M950" t="e">
        <f t="shared" si="70"/>
        <v>#VALUE!</v>
      </c>
      <c r="N950" t="s">
        <v>9</v>
      </c>
    </row>
    <row r="951" spans="1:14" x14ac:dyDescent="0.2">
      <c r="C951" t="s">
        <v>6</v>
      </c>
      <c r="D951">
        <v>4</v>
      </c>
      <c r="E951">
        <v>0</v>
      </c>
      <c r="F951">
        <f t="shared" ref="F951:F956" si="72">M951-L951</f>
        <v>10</v>
      </c>
      <c r="I951" t="s">
        <v>133</v>
      </c>
      <c r="J951" t="s">
        <v>134</v>
      </c>
      <c r="L951" t="str">
        <f t="shared" si="69"/>
        <v>2020/02/22</v>
      </c>
      <c r="M951" t="str">
        <f t="shared" si="70"/>
        <v>2020/03/03</v>
      </c>
      <c r="N951" t="s">
        <v>9</v>
      </c>
    </row>
    <row r="952" spans="1:14" x14ac:dyDescent="0.2">
      <c r="C952" t="s">
        <v>6</v>
      </c>
      <c r="D952">
        <v>334020</v>
      </c>
      <c r="E952">
        <v>607</v>
      </c>
      <c r="F952">
        <f t="shared" si="72"/>
        <v>52</v>
      </c>
      <c r="I952" t="s">
        <v>447</v>
      </c>
      <c r="J952" t="s">
        <v>448</v>
      </c>
      <c r="L952" t="str">
        <f t="shared" si="69"/>
        <v>2020/01/08</v>
      </c>
      <c r="M952" t="str">
        <f t="shared" si="70"/>
        <v>2020/02/29</v>
      </c>
      <c r="N952" t="s">
        <v>9</v>
      </c>
    </row>
    <row r="953" spans="1:14" x14ac:dyDescent="0.2">
      <c r="C953" t="s">
        <v>6</v>
      </c>
      <c r="D953">
        <v>39711</v>
      </c>
      <c r="E953">
        <v>55</v>
      </c>
      <c r="F953">
        <f t="shared" si="72"/>
        <v>26</v>
      </c>
      <c r="I953" t="s">
        <v>81</v>
      </c>
      <c r="J953" t="s">
        <v>82</v>
      </c>
      <c r="L953" t="str">
        <f t="shared" si="69"/>
        <v>2020/01/06</v>
      </c>
      <c r="M953" t="str">
        <f t="shared" si="70"/>
        <v>2020/02/01</v>
      </c>
      <c r="N953" t="s">
        <v>9</v>
      </c>
    </row>
    <row r="954" spans="1:14" x14ac:dyDescent="0.2">
      <c r="C954" t="s">
        <v>6</v>
      </c>
      <c r="D954">
        <v>289795</v>
      </c>
      <c r="E954">
        <v>544</v>
      </c>
      <c r="F954">
        <f t="shared" si="72"/>
        <v>32</v>
      </c>
      <c r="I954" t="s">
        <v>72</v>
      </c>
      <c r="J954" t="s">
        <v>104</v>
      </c>
      <c r="L954" t="str">
        <f t="shared" si="69"/>
        <v>2020/01/03</v>
      </c>
      <c r="M954" t="str">
        <f t="shared" si="70"/>
        <v>2020/02/04</v>
      </c>
      <c r="N954" t="s">
        <v>9</v>
      </c>
    </row>
    <row r="955" spans="1:14" x14ac:dyDescent="0.2">
      <c r="C955" t="s">
        <v>6</v>
      </c>
      <c r="D955">
        <v>31717</v>
      </c>
      <c r="E955">
        <v>51</v>
      </c>
      <c r="F955">
        <f t="shared" si="72"/>
        <v>40</v>
      </c>
      <c r="I955" t="s">
        <v>72</v>
      </c>
      <c r="J955" t="s">
        <v>73</v>
      </c>
      <c r="L955" t="str">
        <f t="shared" si="69"/>
        <v>2020/01/03</v>
      </c>
      <c r="M955" t="str">
        <f t="shared" si="70"/>
        <v>2020/02/12</v>
      </c>
      <c r="N955" t="s">
        <v>9</v>
      </c>
    </row>
    <row r="956" spans="1:14" x14ac:dyDescent="0.2">
      <c r="C956" t="s">
        <v>6</v>
      </c>
      <c r="D956">
        <v>2394557</v>
      </c>
      <c r="E956">
        <v>4844</v>
      </c>
      <c r="F956">
        <f t="shared" si="72"/>
        <v>10</v>
      </c>
      <c r="I956" t="s">
        <v>274</v>
      </c>
      <c r="J956" t="s">
        <v>275</v>
      </c>
      <c r="L956" t="str">
        <f t="shared" si="69"/>
        <v>2020/02/22</v>
      </c>
      <c r="M956" t="str">
        <f t="shared" si="70"/>
        <v>2020/03/03</v>
      </c>
      <c r="N956" t="s">
        <v>9</v>
      </c>
    </row>
    <row r="957" spans="1:14" hidden="1" x14ac:dyDescent="0.2">
      <c r="C957" t="s">
        <v>10</v>
      </c>
      <c r="D957">
        <v>2345</v>
      </c>
      <c r="E957">
        <v>1</v>
      </c>
      <c r="I957" t="s">
        <v>36</v>
      </c>
      <c r="L957" t="str">
        <f t="shared" si="69"/>
        <v>2020/01/17</v>
      </c>
      <c r="M957" t="e">
        <f t="shared" si="70"/>
        <v>#VALUE!</v>
      </c>
      <c r="N957" t="s">
        <v>28</v>
      </c>
    </row>
    <row r="958" spans="1:14" x14ac:dyDescent="0.2">
      <c r="C958" t="s">
        <v>6</v>
      </c>
      <c r="D958">
        <v>639688</v>
      </c>
      <c r="E958">
        <v>6130</v>
      </c>
      <c r="F958">
        <f t="shared" ref="F958:F964" si="73">M958-L958</f>
        <v>63</v>
      </c>
      <c r="I958" t="s">
        <v>18</v>
      </c>
      <c r="J958" t="s">
        <v>15</v>
      </c>
      <c r="L958" t="str">
        <f t="shared" si="69"/>
        <v>2020/01/29</v>
      </c>
      <c r="M958" t="str">
        <f t="shared" si="70"/>
        <v>2020/04/01</v>
      </c>
      <c r="N958" t="s">
        <v>9</v>
      </c>
    </row>
    <row r="959" spans="1:14" hidden="1" x14ac:dyDescent="0.2">
      <c r="C959" t="s">
        <v>10</v>
      </c>
      <c r="D959">
        <v>52200</v>
      </c>
      <c r="E959">
        <v>39</v>
      </c>
      <c r="F959">
        <f t="shared" si="73"/>
        <v>1</v>
      </c>
      <c r="I959" t="s">
        <v>449</v>
      </c>
      <c r="J959" t="s">
        <v>450</v>
      </c>
      <c r="L959" t="str">
        <f t="shared" si="69"/>
        <v>2020/01/14</v>
      </c>
      <c r="M959" t="str">
        <f t="shared" si="70"/>
        <v>2020/01/15</v>
      </c>
      <c r="N959" t="s">
        <v>28</v>
      </c>
    </row>
    <row r="960" spans="1:14" x14ac:dyDescent="0.2">
      <c r="C960" t="s">
        <v>6</v>
      </c>
      <c r="D960">
        <v>2840</v>
      </c>
      <c r="E960">
        <v>30</v>
      </c>
      <c r="F960">
        <f t="shared" si="73"/>
        <v>27</v>
      </c>
      <c r="I960" t="s">
        <v>90</v>
      </c>
      <c r="J960" t="s">
        <v>91</v>
      </c>
      <c r="L960" t="str">
        <f t="shared" si="69"/>
        <v>2020/02/06</v>
      </c>
      <c r="M960" t="str">
        <f t="shared" si="70"/>
        <v>2020/03/04</v>
      </c>
      <c r="N960" t="s">
        <v>9</v>
      </c>
    </row>
    <row r="961" spans="3:14" x14ac:dyDescent="0.2">
      <c r="C961" t="s">
        <v>6</v>
      </c>
      <c r="D961">
        <v>4161586</v>
      </c>
      <c r="E961">
        <v>6208</v>
      </c>
      <c r="F961">
        <f t="shared" si="73"/>
        <v>63</v>
      </c>
      <c r="I961" t="s">
        <v>18</v>
      </c>
      <c r="J961" t="s">
        <v>15</v>
      </c>
      <c r="L961" t="str">
        <f t="shared" si="69"/>
        <v>2020/01/29</v>
      </c>
      <c r="M961" t="str">
        <f t="shared" si="70"/>
        <v>2020/04/01</v>
      </c>
      <c r="N961" t="s">
        <v>9</v>
      </c>
    </row>
    <row r="962" spans="3:14" hidden="1" x14ac:dyDescent="0.2">
      <c r="C962" t="s">
        <v>10</v>
      </c>
      <c r="D962">
        <v>20315</v>
      </c>
      <c r="E962">
        <v>10</v>
      </c>
      <c r="F962">
        <f t="shared" si="73"/>
        <v>0</v>
      </c>
      <c r="I962" t="s">
        <v>118</v>
      </c>
      <c r="J962" t="s">
        <v>119</v>
      </c>
      <c r="L962" t="str">
        <f t="shared" si="69"/>
        <v>2020/01/13</v>
      </c>
      <c r="M962" t="str">
        <f t="shared" si="70"/>
        <v>2020/01/13</v>
      </c>
      <c r="N962" t="s">
        <v>28</v>
      </c>
    </row>
    <row r="963" spans="3:14" x14ac:dyDescent="0.2">
      <c r="C963" t="s">
        <v>6</v>
      </c>
      <c r="D963">
        <v>377674</v>
      </c>
      <c r="E963">
        <v>3656</v>
      </c>
      <c r="F963">
        <f t="shared" si="73"/>
        <v>84</v>
      </c>
      <c r="I963" t="s">
        <v>66</v>
      </c>
      <c r="J963" t="s">
        <v>15</v>
      </c>
      <c r="L963" t="str">
        <f t="shared" ref="L963:L982" si="74">LEFT(I963,FIND(" ",I963)-1)</f>
        <v>2020/01/08</v>
      </c>
      <c r="M963" t="str">
        <f t="shared" ref="M963:M982" si="75">LEFT(J963,FIND(" ",J963)-1)</f>
        <v>2020/04/01</v>
      </c>
      <c r="N963" t="s">
        <v>9</v>
      </c>
    </row>
    <row r="964" spans="3:14" hidden="1" x14ac:dyDescent="0.2">
      <c r="C964" t="s">
        <v>39</v>
      </c>
      <c r="D964">
        <v>255222</v>
      </c>
      <c r="E964">
        <v>446</v>
      </c>
      <c r="F964">
        <f t="shared" si="73"/>
        <v>63</v>
      </c>
      <c r="I964" t="s">
        <v>174</v>
      </c>
      <c r="J964" t="s">
        <v>175</v>
      </c>
      <c r="L964" t="str">
        <f t="shared" si="74"/>
        <v>2020/01/20</v>
      </c>
      <c r="M964" t="str">
        <f t="shared" si="75"/>
        <v>2020/03/23</v>
      </c>
      <c r="N964" t="s">
        <v>41</v>
      </c>
    </row>
    <row r="965" spans="3:14" hidden="1" x14ac:dyDescent="0.2">
      <c r="C965" t="s">
        <v>39</v>
      </c>
      <c r="D965">
        <v>164430</v>
      </c>
      <c r="E965">
        <v>338</v>
      </c>
      <c r="I965" t="s">
        <v>40</v>
      </c>
      <c r="L965" t="str">
        <f t="shared" si="74"/>
        <v>2020/02/01</v>
      </c>
      <c r="M965" t="e">
        <f t="shared" si="75"/>
        <v>#VALUE!</v>
      </c>
      <c r="N965" t="s">
        <v>41</v>
      </c>
    </row>
    <row r="966" spans="3:14" x14ac:dyDescent="0.2">
      <c r="C966" t="s">
        <v>6</v>
      </c>
      <c r="D966">
        <v>402347</v>
      </c>
      <c r="E966">
        <v>983</v>
      </c>
      <c r="F966">
        <f>M966-L966</f>
        <v>84</v>
      </c>
      <c r="I966" t="s">
        <v>14</v>
      </c>
      <c r="J966" t="s">
        <v>15</v>
      </c>
      <c r="L966" t="str">
        <f t="shared" si="74"/>
        <v>2020/01/08</v>
      </c>
      <c r="M966" t="str">
        <f t="shared" si="75"/>
        <v>2020/04/01</v>
      </c>
      <c r="N966" t="s">
        <v>9</v>
      </c>
    </row>
    <row r="967" spans="3:14" hidden="1" x14ac:dyDescent="0.2">
      <c r="C967" t="s">
        <v>6</v>
      </c>
      <c r="D967">
        <v>3079065</v>
      </c>
      <c r="E967">
        <v>2623</v>
      </c>
      <c r="I967" t="s">
        <v>451</v>
      </c>
      <c r="L967" t="str">
        <f t="shared" si="74"/>
        <v>2020/01/14</v>
      </c>
      <c r="M967" t="e">
        <f t="shared" si="75"/>
        <v>#VALUE!</v>
      </c>
      <c r="N967" t="s">
        <v>9</v>
      </c>
    </row>
    <row r="968" spans="3:14" hidden="1" x14ac:dyDescent="0.2">
      <c r="C968" t="s">
        <v>10</v>
      </c>
      <c r="D968">
        <v>2260677</v>
      </c>
      <c r="E968">
        <v>1000</v>
      </c>
      <c r="F968">
        <f>M968-L968</f>
        <v>12</v>
      </c>
      <c r="I968" t="s">
        <v>452</v>
      </c>
      <c r="J968" t="s">
        <v>161</v>
      </c>
      <c r="L968" t="str">
        <f t="shared" si="74"/>
        <v>2020/01/07</v>
      </c>
      <c r="M968" t="str">
        <f t="shared" si="75"/>
        <v>2020/01/19</v>
      </c>
      <c r="N968" t="s">
        <v>87</v>
      </c>
    </row>
    <row r="969" spans="3:14" hidden="1" x14ac:dyDescent="0.2">
      <c r="C969" t="s">
        <v>10</v>
      </c>
      <c r="D969">
        <v>974</v>
      </c>
      <c r="E969">
        <v>0</v>
      </c>
      <c r="I969" t="s">
        <v>36</v>
      </c>
      <c r="L969" t="str">
        <f t="shared" si="74"/>
        <v>2020/01/17</v>
      </c>
      <c r="M969" t="e">
        <f t="shared" si="75"/>
        <v>#VALUE!</v>
      </c>
      <c r="N969" t="s">
        <v>28</v>
      </c>
    </row>
    <row r="970" spans="3:14" hidden="1" x14ac:dyDescent="0.2">
      <c r="C970" t="s">
        <v>39</v>
      </c>
      <c r="D970">
        <v>63602</v>
      </c>
      <c r="E970">
        <v>146</v>
      </c>
      <c r="I970" t="s">
        <v>40</v>
      </c>
      <c r="L970" t="str">
        <f t="shared" si="74"/>
        <v>2020/02/01</v>
      </c>
      <c r="M970" t="e">
        <f t="shared" si="75"/>
        <v>#VALUE!</v>
      </c>
      <c r="N970" t="s">
        <v>41</v>
      </c>
    </row>
    <row r="971" spans="3:14" x14ac:dyDescent="0.2">
      <c r="C971" t="s">
        <v>6</v>
      </c>
      <c r="D971">
        <v>477921</v>
      </c>
      <c r="E971">
        <v>515</v>
      </c>
      <c r="F971">
        <f>M971-L971</f>
        <v>26</v>
      </c>
      <c r="I971" t="s">
        <v>81</v>
      </c>
      <c r="J971" t="s">
        <v>82</v>
      </c>
      <c r="L971" t="str">
        <f t="shared" si="74"/>
        <v>2020/01/06</v>
      </c>
      <c r="M971" t="str">
        <f t="shared" si="75"/>
        <v>2020/02/01</v>
      </c>
      <c r="N971" t="s">
        <v>9</v>
      </c>
    </row>
    <row r="972" spans="3:14" x14ac:dyDescent="0.2">
      <c r="C972" t="s">
        <v>6</v>
      </c>
      <c r="D972">
        <v>211090</v>
      </c>
      <c r="E972">
        <v>300</v>
      </c>
      <c r="F972">
        <f>M972-L972</f>
        <v>35</v>
      </c>
      <c r="I972" t="s">
        <v>64</v>
      </c>
      <c r="J972" t="s">
        <v>65</v>
      </c>
      <c r="L972" t="str">
        <f t="shared" si="74"/>
        <v>2020/01/23</v>
      </c>
      <c r="M972" t="str">
        <f t="shared" si="75"/>
        <v>2020/02/27</v>
      </c>
      <c r="N972" t="s">
        <v>9</v>
      </c>
    </row>
    <row r="973" spans="3:14" x14ac:dyDescent="0.2">
      <c r="C973" t="s">
        <v>6</v>
      </c>
      <c r="D973">
        <v>28896</v>
      </c>
      <c r="E973">
        <v>48</v>
      </c>
      <c r="F973">
        <f>M973-L973</f>
        <v>226</v>
      </c>
      <c r="I973" t="s">
        <v>21</v>
      </c>
      <c r="J973" t="s">
        <v>22</v>
      </c>
      <c r="L973" t="str">
        <f t="shared" si="74"/>
        <v>2019/10/18</v>
      </c>
      <c r="M973" t="str">
        <f t="shared" si="75"/>
        <v>2020/05/31</v>
      </c>
      <c r="N973" t="s">
        <v>9</v>
      </c>
    </row>
    <row r="974" spans="3:14" hidden="1" x14ac:dyDescent="0.2">
      <c r="C974" t="s">
        <v>6</v>
      </c>
      <c r="D974">
        <v>97949</v>
      </c>
      <c r="E974">
        <v>164</v>
      </c>
      <c r="I974" t="s">
        <v>453</v>
      </c>
      <c r="L974" t="str">
        <f t="shared" si="74"/>
        <v>2020/01/06</v>
      </c>
      <c r="M974" t="e">
        <f t="shared" si="75"/>
        <v>#VALUE!</v>
      </c>
      <c r="N974" t="s">
        <v>9</v>
      </c>
    </row>
    <row r="975" spans="3:14" x14ac:dyDescent="0.2">
      <c r="C975" t="s">
        <v>6</v>
      </c>
      <c r="D975">
        <v>1617205</v>
      </c>
      <c r="E975">
        <v>3292</v>
      </c>
      <c r="F975">
        <f>M975-L975</f>
        <v>10</v>
      </c>
      <c r="I975" t="s">
        <v>133</v>
      </c>
      <c r="J975" t="s">
        <v>134</v>
      </c>
      <c r="L975" t="str">
        <f t="shared" si="74"/>
        <v>2020/02/22</v>
      </c>
      <c r="M975" t="str">
        <f t="shared" si="75"/>
        <v>2020/03/03</v>
      </c>
      <c r="N975" t="s">
        <v>9</v>
      </c>
    </row>
    <row r="976" spans="3:14" hidden="1" x14ac:dyDescent="0.2">
      <c r="C976" t="s">
        <v>10</v>
      </c>
      <c r="D976">
        <v>2671</v>
      </c>
      <c r="E976">
        <v>1</v>
      </c>
      <c r="I976" t="s">
        <v>27</v>
      </c>
      <c r="L976" t="str">
        <f t="shared" si="74"/>
        <v>2020/01/17</v>
      </c>
      <c r="M976" t="e">
        <f t="shared" si="75"/>
        <v>#VALUE!</v>
      </c>
      <c r="N976" t="s">
        <v>28</v>
      </c>
    </row>
    <row r="977" spans="3:14" x14ac:dyDescent="0.2">
      <c r="C977" t="s">
        <v>6</v>
      </c>
      <c r="D977">
        <v>936465</v>
      </c>
      <c r="E977">
        <v>2137</v>
      </c>
      <c r="F977">
        <f>M977-L977</f>
        <v>84</v>
      </c>
      <c r="I977" t="s">
        <v>14</v>
      </c>
      <c r="J977" t="s">
        <v>15</v>
      </c>
      <c r="L977" t="str">
        <f t="shared" si="74"/>
        <v>2020/01/08</v>
      </c>
      <c r="M977" t="str">
        <f t="shared" si="75"/>
        <v>2020/04/01</v>
      </c>
      <c r="N977" t="s">
        <v>9</v>
      </c>
    </row>
    <row r="978" spans="3:14" hidden="1" x14ac:dyDescent="0.2">
      <c r="C978" t="s">
        <v>39</v>
      </c>
      <c r="D978">
        <v>233619</v>
      </c>
      <c r="E978">
        <v>636</v>
      </c>
      <c r="F978">
        <f>M978-L978</f>
        <v>343</v>
      </c>
      <c r="I978" t="s">
        <v>83</v>
      </c>
      <c r="J978" t="s">
        <v>84</v>
      </c>
      <c r="L978" t="str">
        <f t="shared" si="74"/>
        <v>2020/01/24</v>
      </c>
      <c r="M978" t="str">
        <f t="shared" si="75"/>
        <v>2021/01/01</v>
      </c>
      <c r="N978" t="s">
        <v>41</v>
      </c>
    </row>
    <row r="979" spans="3:14" hidden="1" x14ac:dyDescent="0.2">
      <c r="C979" t="s">
        <v>10</v>
      </c>
      <c r="D979">
        <v>3159</v>
      </c>
      <c r="E979">
        <v>1</v>
      </c>
      <c r="I979" t="s">
        <v>36</v>
      </c>
      <c r="L979" t="str">
        <f t="shared" si="74"/>
        <v>2020/01/17</v>
      </c>
      <c r="M979" t="e">
        <f t="shared" si="75"/>
        <v>#VALUE!</v>
      </c>
      <c r="N979" t="s">
        <v>28</v>
      </c>
    </row>
    <row r="980" spans="3:14" x14ac:dyDescent="0.2">
      <c r="C980" t="s">
        <v>6</v>
      </c>
      <c r="D980">
        <v>497012</v>
      </c>
      <c r="E980">
        <v>1247</v>
      </c>
      <c r="F980">
        <f>M980-L980</f>
        <v>31</v>
      </c>
      <c r="I980" t="s">
        <v>45</v>
      </c>
      <c r="J980" t="s">
        <v>46</v>
      </c>
      <c r="L980" t="str">
        <f t="shared" si="74"/>
        <v>2020/01/01</v>
      </c>
      <c r="M980" t="str">
        <f t="shared" si="75"/>
        <v>2020/02/01</v>
      </c>
      <c r="N980" t="s">
        <v>9</v>
      </c>
    </row>
    <row r="981" spans="3:14" x14ac:dyDescent="0.2">
      <c r="C981" t="s">
        <v>6</v>
      </c>
      <c r="D981">
        <v>5956868</v>
      </c>
      <c r="E981">
        <v>12766</v>
      </c>
      <c r="F981">
        <f>M981-L981</f>
        <v>8</v>
      </c>
      <c r="I981" t="s">
        <v>62</v>
      </c>
      <c r="J981" t="s">
        <v>63</v>
      </c>
      <c r="L981" t="str">
        <f t="shared" si="74"/>
        <v>2020/02/08</v>
      </c>
      <c r="M981" t="str">
        <f t="shared" si="75"/>
        <v>2020/02/16</v>
      </c>
      <c r="N981" t="s">
        <v>9</v>
      </c>
    </row>
    <row r="982" spans="3:14" hidden="1" x14ac:dyDescent="0.2">
      <c r="C982" t="s">
        <v>10</v>
      </c>
      <c r="D982">
        <v>285368</v>
      </c>
      <c r="E982">
        <v>568</v>
      </c>
      <c r="F982">
        <f>M982-L982</f>
        <v>11</v>
      </c>
      <c r="I982" t="s">
        <v>33</v>
      </c>
      <c r="J982" t="s">
        <v>34</v>
      </c>
      <c r="L982" t="str">
        <f t="shared" si="74"/>
        <v>2020/02/03</v>
      </c>
      <c r="M982" t="str">
        <f t="shared" si="75"/>
        <v>2020/02/14</v>
      </c>
      <c r="N982" t="s">
        <v>35</v>
      </c>
    </row>
  </sheetData>
  <autoFilter ref="L1:N982" xr:uid="{00000000-0009-0000-0000-000002000000}">
    <filterColumn colId="1">
      <filters>
        <filter val="2020/01/01"/>
        <filter val="2020/01/15"/>
        <filter val="2020/01/16"/>
        <filter val="2020/01/19"/>
        <filter val="2020/01/23"/>
        <filter val="2020/01/26"/>
        <filter val="2020/01/29"/>
        <filter val="2020/01/30"/>
        <filter val="2020/01/31"/>
        <filter val="2020/02/01"/>
        <filter val="2020/02/04"/>
        <filter val="2020/02/05"/>
        <filter val="2020/02/07"/>
        <filter val="2020/02/08"/>
        <filter val="2020/02/10"/>
        <filter val="2020/02/11"/>
        <filter val="2020/02/12"/>
        <filter val="2020/02/16"/>
        <filter val="2020/02/17"/>
        <filter val="2020/02/19"/>
        <filter val="2020/02/20"/>
        <filter val="2020/02/24"/>
        <filter val="2020/02/25"/>
        <filter val="2020/02/27"/>
        <filter val="2020/02/28"/>
        <filter val="2020/02/29"/>
        <filter val="2020/03/01"/>
        <filter val="2020/03/02"/>
        <filter val="2020/03/03"/>
        <filter val="2020/03/04"/>
        <filter val="2020/03/13"/>
        <filter val="2020/04/01"/>
        <filter val="2020/05/31"/>
        <filter val="2020/06/01"/>
        <filter val="2020/08/31"/>
      </filters>
    </filterColumn>
    <filterColumn colId="2">
      <filters>
        <filter val="united states"/>
      </filters>
    </filterColumn>
  </autoFilter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PoliticalAds 2020</vt:lpstr>
      <vt:lpstr>Regression 1</vt:lpstr>
      <vt:lpstr>Regression 2</vt:lpstr>
      <vt:lpstr>Draft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2020-02-28T16:38:11Z</dcterms:created>
  <dcterms:modified xsi:type="dcterms:W3CDTF">2020-02-28T19:03:29Z</dcterms:modified>
</cp:coreProperties>
</file>